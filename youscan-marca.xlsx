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0c99043c6754d8d" /></Relationships>
</file>

<file path=xl/workbook.xml><?xml version="1.0" encoding="utf-8"?>
<x:workbook xmlns:x="http://schemas.openxmlformats.org/spreadsheetml/2006/main">
  <x:sheets>
    <x:sheet xmlns:r="http://schemas.openxmlformats.org/officeDocument/2006/relationships" name="Menciona" sheetId="1" r:id="R53ae891840054010"/>
  </x:sheets>
</x:workbook>
</file>

<file path=xl/_rels/workbook.xml.rels>&#65279;<?xml version="1.0" encoding="utf-8"?><Relationships xmlns="http://schemas.openxmlformats.org/package/2006/relationships"><Relationship Type="http://schemas.openxmlformats.org/officeDocument/2006/relationships/worksheet" Target="/xl/worksheets/sheet1.xml" Id="R53ae891840054010" /></Relationships>
</file>

<file path=xl/worksheets/sheet1.xml><?xml version="1.0" encoding="utf-8"?>
<x:worksheet xmlns:x="http://schemas.openxmlformats.org/spreadsheetml/2006/main">
  <x:sheetData>
    <x:row r="1">
      <x:c t="inlineStr" r="A1">
        <x:is>
          <x:t>ID da menção</x:t>
        </x:is>
      </x:c>
      <x:c t="inlineStr" r="B1">
        <x:is>
          <x:t>Data</x:t>
        </x:is>
      </x:c>
      <x:c t="inlineStr" r="C1">
        <x:is>
          <x:t>Hora</x:t>
        </x:is>
      </x:c>
      <x:c t="inlineStr" r="D1">
        <x:is>
          <x:t>Salvo em</x:t>
        </x:is>
      </x:c>
      <x:c t="inlineStr" r="E1">
        <x:is>
          <x:t>Título</x:t>
        </x:is>
      </x:c>
      <x:c t="inlineStr" r="F1">
        <x:is>
          <x:t>Texto</x:t>
        </x:is>
      </x:c>
      <x:c t="inlineStr" r="G1">
        <x:is>
          <x:t>Transcrição</x:t>
        </x:is>
      </x:c>
      <x:c t="inlineStr" r="H1">
        <x:is>
          <x:t>Idioma da transcrição</x:t>
        </x:is>
      </x:c>
      <x:c t="inlineStr" r="I1">
        <x:is>
          <x:t>Tipo de postagem</x:t>
        </x:is>
      </x:c>
      <x:c t="inlineStr" r="J1">
        <x:is>
          <x:t>Tipos de conteúdo</x:t>
        </x:is>
      </x:c>
      <x:c t="inlineStr" r="K1">
        <x:is>
          <x:t>Formato específico da fonte</x:t>
        </x:is>
      </x:c>
      <x:c t="inlineStr" r="L1">
        <x:is>
          <x:t>URL</x:t>
        </x:is>
      </x:c>
      <x:c t="inlineStr" r="M1">
        <x:is>
          <x:t>Sentimento</x:t>
        </x:is>
      </x:c>
      <x:c t="inlineStr" r="N1">
        <x:is>
          <x:t>Autor</x:t>
        </x:is>
      </x:c>
      <x:c t="inlineStr" r="O1">
        <x:is>
          <x:t>Apelido</x:t>
        </x:is>
      </x:c>
      <x:c t="inlineStr" r="P1">
        <x:is>
          <x:t>Perfil</x:t>
        </x:is>
      </x:c>
      <x:c t="inlineStr" r="Q1">
        <x:is>
          <x:t>Assinantes</x:t>
        </x:is>
      </x:c>
      <x:c t="inlineStr" r="R1">
        <x:is>
          <x:t>Demografia</x:t>
        </x:is>
      </x:c>
      <x:c t="inlineStr" r="S1">
        <x:is>
          <x:t>Idade</x:t>
        </x:is>
      </x:c>
      <x:c t="inlineStr" r="T1">
        <x:is>
          <x:t>Fonte</x:t>
        </x:is>
      </x:c>
      <x:c t="inlineStr" r="U1">
        <x:is>
          <x:t>Local de publicação</x:t>
        </x:is>
      </x:c>
      <x:c t="inlineStr" r="V1">
        <x:is>
          <x:t>Perfil do local de publicação</x:t>
        </x:is>
      </x:c>
      <x:c t="inlineStr" r="W1">
        <x:is>
          <x:t>Assinantes do local de publicação</x:t>
        </x:is>
      </x:c>
      <x:c t="inlineStr" r="X1">
        <x:is>
          <x:t>Classificação do local de publicação</x:t>
        </x:is>
      </x:c>
      <x:c t="inlineStr" r="Y1">
        <x:is>
          <x:t>Tipo de recurso</x:t>
        </x:is>
      </x:c>
      <x:c t="inlineStr" r="Z1">
        <x:is>
          <x:t>Idioma</x:t>
        </x:is>
      </x:c>
      <x:c t="inlineStr" r="AA1">
        <x:is>
          <x:t>País</x:t>
        </x:is>
      </x:c>
      <x:c t="inlineStr" r="AB1">
        <x:is>
          <x:t>Regiões</x:t>
        </x:is>
      </x:c>
      <x:c t="inlineStr" r="AC1">
        <x:is>
          <x:t>Cidade</x:t>
        </x:is>
      </x:c>
      <x:c t="inlineStr" r="AD1">
        <x:is>
          <x:t>Anotações</x:t>
        </x:is>
      </x:c>
      <x:c t="inlineStr" r="AE1">
        <x:is>
          <x:t>Reações</x:t>
        </x:is>
      </x:c>
      <x:c t="inlineStr" r="AF1">
        <x:is>
          <x:t>Noivado</x:t>
        </x:is>
      </x:c>
      <x:c t="inlineStr" r="AG1">
        <x:is>
          <x:t>Gosta</x:t>
        </x:is>
      </x:c>
      <x:c t="inlineStr" r="AH1">
        <x:is>
          <x:t>Amor</x:t>
        </x:is>
      </x:c>
      <x:c t="inlineStr" r="AI1">
        <x:is>
          <x:t>Haha</x:t>
        </x:is>
      </x:c>
      <x:c t="inlineStr" r="AJ1">
        <x:is>
          <x:t>Uau</x:t>
        </x:is>
      </x:c>
      <x:c t="inlineStr" r="AK1">
        <x:is>
          <x:t>Triste</x:t>
        </x:is>
      </x:c>
      <x:c t="inlineStr" r="AL1">
        <x:is>
          <x:t>Irritado</x:t>
        </x:is>
      </x:c>
      <x:c t="inlineStr" r="AM1">
        <x:is>
          <x:t>Cuidado</x:t>
        </x:is>
      </x:c>
      <x:c t="inlineStr" r="AN1">
        <x:is>
          <x:t>Desagrados</x:t>
        </x:is>
      </x:c>
      <x:c t="inlineStr" r="AO1">
        <x:is>
          <x:t>Comentários</x:t>
        </x:is>
      </x:c>
      <x:c t="inlineStr" r="AP1">
        <x:is>
          <x:t>Repostagens</x:t>
        </x:is>
      </x:c>
      <x:c t="inlineStr" r="AQ1">
        <x:is>
          <x:t>Modos de exibição</x:t>
        </x:is>
      </x:c>
      <x:c t="inlineStr" r="AR1">
        <x:is>
          <x:t>Impressões (publicações próprias)</x:t>
        </x:is>
      </x:c>
      <x:c t="inlineStr" r="AS1">
        <x:is>
          <x:t>Alcance (publicações próprias)</x:t>
        </x:is>
      </x:c>
      <x:c t="inlineStr" r="AT1">
        <x:is>
          <x:t>Número de salvamentos</x:t>
        </x:is>
      </x:c>
      <x:c t="inlineStr" r="AU1">
        <x:is>
          <x:t>Alcance potencial</x:t>
        </x:is>
      </x:c>
      <x:c t="inlineStr" r="AV1">
        <x:is>
          <x:t>Classificação</x:t>
        </x:is>
      </x:c>
      <x:c t="inlineStr" r="AW1">
        <x:is>
          <x:t>Marcas de imagem</x:t>
        </x:is>
      </x:c>
      <x:c t="inlineStr" r="AX1">
        <x:is>
          <x:t>Objetos de imagem</x:t>
        </x:is>
      </x:c>
      <x:c t="inlineStr" r="AY1">
        <x:is>
          <x:t>Cenas de imagem</x:t>
        </x:is>
      </x:c>
      <x:c t="inlineStr" r="AZ1">
        <x:is>
          <x:t>Pessoas de imagem</x:t>
        </x:is>
      </x:c>
      <x:c t="inlineStr" r="BA1">
        <x:is>
          <x:t>Atividades de imagem</x:t>
        </x:is>
      </x:c>
      <x:c t="inlineStr" r="BB1">
        <x:is>
          <x:t>Tipo de imagem</x:t>
        </x:is>
      </x:c>
      <x:c t="inlineStr" r="BC1">
        <x:is>
          <x:t>Subtipo de imagem</x:t>
        </x:is>
      </x:c>
      <x:c t="inlineStr" r="BD1">
        <x:is>
          <x:t>URL da imagem</x:t>
        </x:is>
      </x:c>
      <x:c t="inlineStr" r="BE1">
        <x:is>
          <x:t>Atribuído a</x:t>
        </x:is>
      </x:c>
      <x:c t="inlineStr" r="BF1">
        <x:is>
          <x:t>Processados</x:t>
        </x:is>
      </x:c>
      <x:c t="inlineStr" r="BG1">
        <x:is>
          <x:t>Aspectos</x:t>
        </x:is>
      </x:c>
      <x:c t="inlineStr" r="BH1">
        <x:is>
          <x:t>Assuntos</x:t>
        </x:is>
      </x:c>
      <x:c t="inlineStr" r="BI1">
        <x:is>
          <x:t>Auto-categorias</x:t>
        </x:is>
      </x:c>
      <x:c t="inlineStr" r="BJ1">
        <x:is>
          <x:t>Tendência</x:t>
        </x:is>
      </x:c>
      <x:c t="inlineStr" r="BK1">
        <x:is>
          <x:t>Etiquetas</x:t>
        </x:is>
      </x:c>
      <x:c t="inlineStr" r="BL1">
        <x:is>
          <x:t>Explosão no Posto</x:t>
        </x:is>
      </x:c>
      <x:c t="inlineStr" r="BM1">
        <x:is>
          <x:t>Alerta PCC</x:t>
        </x:is>
      </x:c>
      <x:c t="inlineStr" r="BN1">
        <x:is>
          <x:t>Completa Pra Mim</x:t>
        </x:is>
      </x:c>
      <x:c t="inlineStr" r="BO1">
        <x:is>
          <x:t>Agressão</x:t>
        </x:is>
      </x:c>
      <x:c t="inlineStr" r="BP1">
        <x:is>
          <x:t>Campanha Desde Sempre</x:t>
        </x:is>
      </x:c>
      <x:c t="inlineStr" r="BQ1">
        <x:is>
          <x:t>Ipiranga - Contas Oficiais</x:t>
        </x:is>
      </x:c>
      <x:c t="inlineStr" r="BR1">
        <x:is>
          <x:t>Comentários - Canais oficiais</x:t>
        </x:is>
      </x:c>
      <x:c t="inlineStr" r="BS1">
        <x:is>
          <x:t>Stock Car - Renovação</x:t>
        </x:is>
      </x:c>
      <x:c t="inlineStr" r="BT1">
        <x:is>
          <x:t>KMV - Reclamações</x:t>
        </x:is>
      </x:c>
      <x:c t="inlineStr" r="BU1">
        <x:is>
          <x:t>Convenção Ipiranga</x:t>
        </x:is>
      </x:c>
      <x:c t="inlineStr" r="BV1">
        <x:is>
          <x:t>Franquia - AmPm</x:t>
        </x:is>
      </x:c>
      <x:c t="inlineStr" r="BW1">
        <x:is>
          <x:t>Ipimax</x:t>
        </x:is>
      </x:c>
      <x:c t="inlineStr" r="BX1">
        <x:is>
          <x:t>Franquia - Jet Oil</x:t>
        </x:is>
      </x:c>
      <x:c t="inlineStr" r="BY1">
        <x:is>
          <x:t>Campanha: Parada Completa</x:t>
        </x:is>
      </x:c>
      <x:c t="inlineStr" r="BZ1">
        <x:is>
          <x:t>Ipiranga</x:t>
        </x:is>
      </x:c>
      <x:c t="inlineStr" r="CA1">
        <x:is>
          <x:t>Lubrificantes</x:t>
        </x:is>
      </x:c>
      <x:c t="inlineStr" r="CB1">
        <x:is>
          <x:t>Publi Juliette</x:t>
        </x:is>
      </x:c>
      <x:c t="inlineStr" r="CC1">
        <x:is>
          <x:t>Oportunidade</x:t>
        </x:is>
      </x:c>
      <x:c t="inlineStr" r="CD1">
        <x:is>
          <x:t>App KMV</x:t>
        </x:is>
      </x:c>
      <x:c t="inlineStr" r="CE1">
        <x:is>
          <x:t>Rock In Rio</x:t>
        </x:is>
      </x:c>
      <x:c t="inlineStr" r="CF1">
        <x:is>
          <x:t>TESTE</x:t>
        </x:is>
      </x:c>
    </x:row>
    <x:row r="2">
      <x:c t="n" r="A2">
        <x:v>1271567121</x:v>
      </x:c>
      <x:c t="inlineStr" r="B2">
        <x:is>
          <x:t>02.09.2026</x:t>
        </x:is>
      </x:c>
      <x:c t="inlineStr" r="C2">
        <x:is>
          <x:t>20:56</x:t>
        </x:is>
      </x:c>
      <x:c t="inlineStr" r="D2">
        <x:is>
          <x:t>02.09.2026 20:58</x:t>
        </x:is>
      </x:c>
      <x:c t="inlineStr" r="E2">
        <x:is>
          <x:t/>
        </x:is>
      </x:c>
      <x:c t="str" r="F2">
        <x:v>Pensamentos após evento teste do rock in rio:
Os brindes estão IMPOSSÍVEIS. Fiquei 1:30 na fila da Ipiranga pra pochete acabar antes. Filas enormes NO TESTE e produtos acabando ☠️</x:v>
      </x:c>
      <x:c t="inlineStr" r="G2">
        <x:is>
          <x:t/>
        </x:is>
      </x:c>
      <x:c t="inlineStr" r="H2"/>
      <x:c t="inlineStr" r="I2">
        <x:is>
          <x:t>Postar</x:t>
        </x:is>
      </x:c>
      <x:c t="inlineStr" r="J2">
        <x:is>
          <x:t>Texto</x:t>
        </x:is>
      </x:c>
      <x:c t="inlineStr" r="K2"/>
      <x:c r="L2">
        <x:f>HYPERLINK("https://x.com/BelSeaWitch/status/2095299905287843962")</x:f>
      </x:c>
      <x:c t="inlineStr" r="M2">
        <x:is>
          <x:t>Negativo</x:t>
        </x:is>
      </x:c>
      <x:c t="inlineStr" r="N2">
        <x:is>
          <x:t>Bella ³ 🗡</x:t>
        </x:is>
      </x:c>
      <x:c t="inlineStr" r="O2">
        <x:is>
          <x:t>BelSeaWitch</x:t>
        </x:is>
      </x:c>
      <x:c r="P2">
        <x:f>HYPERLINK("http://x.com/BelSeaWitch")</x:f>
      </x:c>
      <x:c t="n" r="Q2">
        <x:v>1438</x:v>
      </x:c>
      <x:c t="inlineStr" r="R2">
        <x:is>
          <x:t>Mulher</x:t>
        </x:is>
      </x:c>
      <x:c t="inlineStr" r="S2"/>
      <x:c t="inlineStr" r="T2">
        <x:is>
          <x:t>x.com</x:t>
        </x:is>
      </x:c>
      <x:c t="inlineStr" r="U2"/>
      <x:c t="inlineStr" r="V2"/>
      <x:c t="inlineStr" r="W2"/>
      <x:c t="inlineStr" r="X2"/>
      <x:c t="inlineStr" r="Y2">
        <x:is>
          <x:t>Rede social</x:t>
        </x:is>
      </x:c>
      <x:c t="inlineStr" r="Z2">
        <x:is>
          <x:t>Português</x:t>
        </x:is>
      </x:c>
      <x:c t="inlineStr" r="AA2">
        <x:is>
          <x:t>Brasil</x:t>
        </x:is>
      </x:c>
      <x:c t="inlineStr" r="AB2"/>
      <x:c t="inlineStr" r="AC2"/>
      <x:c t="inlineStr" r="AD2"/>
      <x:c t="n" r="AE2">
        <x:v>0</x:v>
      </x:c>
      <x:c t="n" r="AF2">
        <x:v>0</x:v>
      </x:c>
      <x:c t="n" r="AG2">
        <x:v>0</x:v>
      </x:c>
      <x:c t="inlineStr" r="AH2"/>
      <x:c t="inlineStr" r="AI2"/>
      <x:c t="inlineStr" r="AJ2"/>
      <x:c t="inlineStr" r="AK2"/>
      <x:c t="inlineStr" r="AL2"/>
      <x:c t="inlineStr" r="AM2"/>
      <x:c t="inlineStr" r="AN2"/>
      <x:c t="n" r="AO2">
        <x:v>0</x:v>
      </x:c>
      <x:c t="n" r="AP2">
        <x:v>0</x:v>
      </x:c>
      <x:c t="n" r="AQ2">
        <x:v>59</x:v>
      </x:c>
      <x:c t="inlineStr" r="AR2"/>
      <x:c t="inlineStr" r="AS2"/>
      <x:c t="inlineStr" r="AT2"/>
      <x:c t="n" r="AU2">
        <x:v>1438</x:v>
      </x:c>
      <x:c t="inlineStr" r="AV2"/>
      <x:c t="inlineStr" r="AW2"/>
      <x:c t="inlineStr" r="AX2"/>
      <x:c t="inlineStr" r="AY2"/>
      <x:c t="inlineStr" r="AZ2"/>
      <x:c t="inlineStr" r="BA2"/>
      <x:c t="inlineStr" r="BB2"/>
      <x:c t="inlineStr" r="BC2"/>
      <x:c t="inlineStr" r="BD2"/>
      <x:c t="inlineStr" r="BE2">
        <x:is>
          <x:t/>
        </x:is>
      </x:c>
      <x:c t="inlineStr" r="BF2">
        <x:is>
          <x:t>Não</x:t>
        </x:is>
      </x:c>
      <x:c t="inlineStr" r="BG2"/>
      <x:c t="inlineStr" r="BH2">
        <x:is>
          <x:t>Acontecimento</x:t>
        </x:is>
      </x:c>
      <x:c t="inlineStr" r="BI2">
        <x:is>
          <x:t>WOM</x:t>
        </x:is>
      </x:c>
      <x:c t="inlineStr" r="BJ2"/>
      <x:c t="inlineStr" r="BK2">
        <x:is>
          <x:t>Ipiranga,Rock In Rio</x:t>
        </x:is>
      </x:c>
      <x:c t="inlineStr" r="BL2"/>
      <x:c t="inlineStr" r="BM2"/>
      <x:c t="inlineStr" r="BN2"/>
      <x:c t="inlineStr" r="BO2"/>
      <x:c t="inlineStr" r="BP2"/>
      <x:c t="inlineStr" r="BQ2"/>
      <x:c t="inlineStr" r="BR2"/>
      <x:c t="inlineStr" r="BS2"/>
      <x:c t="inlineStr" r="BT2"/>
      <x:c t="inlineStr" r="BU2"/>
      <x:c t="inlineStr" r="BV2"/>
      <x:c t="inlineStr" r="BW2"/>
      <x:c t="inlineStr" r="BX2"/>
      <x:c t="inlineStr" r="BY2"/>
      <x:c t="inlineStr" r="BZ2">
        <x:is>
          <x:t>Ipiranga</x:t>
        </x:is>
      </x:c>
      <x:c t="inlineStr" r="CA2"/>
      <x:c t="inlineStr" r="CB2"/>
      <x:c t="inlineStr" r="CC2"/>
      <x:c t="inlineStr" r="CD2"/>
      <x:c t="inlineStr" r="CE2">
        <x:is>
          <x:t>Rock In Rio</x:t>
        </x:is>
      </x:c>
      <x:c t="inlineStr" r="CF2"/>
    </x:row>
    <x:row r="3">
      <x:c t="n" r="A3">
        <x:v>3821155672</x:v>
      </x:c>
      <x:c t="inlineStr" r="B3">
        <x:is>
          <x:t>02.09.2026</x:t>
        </x:is>
      </x:c>
      <x:c t="inlineStr" r="C3">
        <x:is>
          <x:t>20:39</x:t>
        </x:is>
      </x:c>
      <x:c t="inlineStr" r="D3">
        <x:is>
          <x:t>02.09.2026 21:15</x:t>
        </x:is>
      </x:c>
      <x:c t="inlineStr" r="E3">
        <x:is>
          <x:t/>
        </x:is>
      </x:c>
      <x:c t="inlineStr" r="F3">
        <x:is>
          <x:t>🔥 O Rock in Rio tá ON! Nosso Glambot está fazendo chover de gente no espaço da @ipiranga . ✨🎥 Experiência, impacto e muita gente querendo viver esse momento. É a ThinkPrint fazendo acontecer! </x:t>
        </x:is>
      </x:c>
      <x:c t="inlineStr" r="G3">
        <x:is>
          <x:t/>
        </x:is>
      </x:c>
      <x:c t="inlineStr" r="H3"/>
      <x:c t="inlineStr" r="I3">
        <x:is>
          <x:t>Postar</x:t>
        </x:is>
      </x:c>
      <x:c t="inlineStr" r="J3">
        <x:is>
          <x:t>Vídeo,Texto</x:t>
        </x:is>
      </x:c>
      <x:c t="inlineStr" r="K3"/>
      <x:c r="L3">
        <x:f>HYPERLINK("https://www.tiktok.com/@thinkprintbrasil/video/7681086634539912468")</x:f>
      </x:c>
      <x:c t="inlineStr" r="M3">
        <x:is>
          <x:t>Negativo</x:t>
        </x:is>
      </x:c>
      <x:c t="inlineStr" r="N3">
        <x:is>
          <x:t>ThinkPrint</x:t>
        </x:is>
      </x:c>
      <x:c t="inlineStr" r="O3">
        <x:is>
          <x:t>thinkprintbrasil</x:t>
        </x:is>
      </x:c>
      <x:c r="P3">
        <x:f>HYPERLINK("https://www.tiktok.com/share/user/7172381153277166598")</x:f>
      </x:c>
      <x:c t="n" r="Q3">
        <x:v>215</x:v>
      </x:c>
      <x:c t="inlineStr" r="R3"/>
      <x:c t="inlineStr" r="S3"/>
      <x:c t="inlineStr" r="T3">
        <x:is>
          <x:t>tiktok.com</x:t>
        </x:is>
      </x:c>
      <x:c t="inlineStr" r="U3">
        <x:is>
          <x:t>ThinkPrint</x:t>
        </x:is>
      </x:c>
      <x:c r="V3">
        <x:f>HYPERLINK("https://www.tiktok.com/share/user/7172381153277166598")</x:f>
      </x:c>
      <x:c t="n" r="W3">
        <x:v>215</x:v>
      </x:c>
      <x:c t="inlineStr" r="X3"/>
      <x:c t="inlineStr" r="Y3">
        <x:is>
          <x:t>Rede social</x:t>
        </x:is>
      </x:c>
      <x:c t="inlineStr" r="Z3">
        <x:is>
          <x:t>Português</x:t>
        </x:is>
      </x:c>
      <x:c t="inlineStr" r="AA3">
        <x:is>
          <x:t>Brasil</x:t>
        </x:is>
      </x:c>
      <x:c t="inlineStr" r="AB3"/>
      <x:c t="inlineStr" r="AC3"/>
      <x:c t="inlineStr" r="AD3"/>
      <x:c t="n" r="AE3">
        <x:v>1</x:v>
      </x:c>
      <x:c t="n" r="AF3">
        <x:v>1</x:v>
      </x:c>
      <x:c t="n" r="AG3">
        <x:v>1</x:v>
      </x:c>
      <x:c t="inlineStr" r="AH3"/>
      <x:c t="inlineStr" r="AI3"/>
      <x:c t="inlineStr" r="AJ3"/>
      <x:c t="inlineStr" r="AK3"/>
      <x:c t="inlineStr" r="AL3"/>
      <x:c t="inlineStr" r="AM3"/>
      <x:c t="inlineStr" r="AN3"/>
      <x:c t="inlineStr" r="AO3"/>
      <x:c t="inlineStr" r="AP3"/>
      <x:c t="n" r="AQ3">
        <x:v>9</x:v>
      </x:c>
      <x:c t="inlineStr" r="AR3"/>
      <x:c t="inlineStr" r="AS3"/>
      <x:c t="n" r="AT3">
        <x:v>0</x:v>
      </x:c>
      <x:c t="n" r="AU3">
        <x:v>215</x:v>
      </x:c>
      <x:c t="inlineStr" r="AV3"/>
      <x:c t="inlineStr" r="AW3">
        <x:is>
          <x:t/>
        </x:is>
      </x:c>
      <x:c t="inlineStr" r="AX3">
        <x:is>
          <x:t>finger,wrist,skin,watch,nail,screen</x:t>
        </x:is>
      </x:c>
      <x:c t="inlineStr" r="AY3">
        <x:is>
          <x:t/>
        </x:is>
      </x:c>
      <x:c t="inlineStr" r="AZ3">
        <x:is>
          <x:t/>
        </x:is>
      </x:c>
      <x:c t="inlineStr" r="BA3">
        <x:is>
          <x:t/>
        </x:is>
      </x:c>
      <x:c t="inlineStr" r="BB3">
        <x:is>
          <x:t>PHOTO</x:t>
        </x:is>
      </x:c>
      <x:c t="inlineStr" r="BC3"/>
      <x:c t="inlineStr" r="BD3">
        <x:is>
          <x:t>https://p19-common-sign.tiktokcdn-eu.com/tos-alisg-p-0037/ocMjGIAiQbVCUQI2QCx2KoLbyMANZDeWfeASbn~tplv-tiktokx-origin.image?dr=10395&amp;x-expires=1788566400&amp;x-signature=VOnk7NE%2BYgKBJZV0vHCF5eu7pHg%3D&amp;t=4d5b0474&amp;ps=13740610&amp;shp=81f88b70&amp;shcp=43f4a2f9&amp;idc=no1a</x:t>
        </x:is>
      </x:c>
      <x:c t="inlineStr" r="BE3">
        <x:is>
          <x:t/>
        </x:is>
      </x:c>
      <x:c t="inlineStr" r="BF3">
        <x:is>
          <x:t>Não</x:t>
        </x:is>
      </x:c>
      <x:c t="inlineStr" r="BG3"/>
      <x:c t="inlineStr" r="BH3">
        <x:is>
          <x:t/>
        </x:is>
      </x:c>
      <x:c t="inlineStr" r="BI3">
        <x:is>
          <x:t>Promoção</x:t>
        </x:is>
      </x:c>
      <x:c t="inlineStr" r="BJ3"/>
      <x:c t="inlineStr" r="BK3">
        <x:is>
          <x:t>Ipiranga,Rock In Rio</x:t>
        </x:is>
      </x:c>
      <x:c t="inlineStr" r="BL3"/>
      <x:c t="inlineStr" r="BM3"/>
      <x:c t="inlineStr" r="BN3"/>
      <x:c t="inlineStr" r="BO3"/>
      <x:c t="inlineStr" r="BP3"/>
      <x:c t="inlineStr" r="BQ3"/>
      <x:c t="inlineStr" r="BR3"/>
      <x:c t="inlineStr" r="BS3"/>
      <x:c t="inlineStr" r="BT3"/>
      <x:c t="inlineStr" r="BU3"/>
      <x:c t="inlineStr" r="BV3"/>
      <x:c t="inlineStr" r="BW3"/>
      <x:c t="inlineStr" r="BX3"/>
      <x:c t="inlineStr" r="BY3"/>
      <x:c t="inlineStr" r="BZ3">
        <x:is>
          <x:t>Ipiranga</x:t>
        </x:is>
      </x:c>
      <x:c t="inlineStr" r="CA3"/>
      <x:c t="inlineStr" r="CB3"/>
      <x:c t="inlineStr" r="CC3"/>
      <x:c t="inlineStr" r="CD3"/>
      <x:c t="inlineStr" r="CE3">
        <x:is>
          <x:t>Rock In Rio</x:t>
        </x:is>
      </x:c>
      <x:c t="inlineStr" r="CF3"/>
    </x:row>
    <x:row r="4">
      <x:c t="n" r="A4">
        <x:v>3546328193</x:v>
      </x:c>
      <x:c t="inlineStr" r="B4">
        <x:is>
          <x:t>02.09.2026</x:t>
        </x:is>
      </x:c>
      <x:c t="inlineStr" r="C4">
        <x:is>
          <x:t>19:14</x:t>
        </x:is>
      </x:c>
      <x:c t="inlineStr" r="D4">
        <x:is>
          <x:t>02.09.2026 19:17</x:t>
        </x:is>
      </x:c>
      <x:c t="inlineStr" r="E4">
        <x:is>
          <x:t/>
        </x:is>
      </x:c>
      <x:c t="str" r="F4">
        <x:v>9 anos que isso aconteceu….
vocês bem que podiam me levar pro rock in rio de novo hein @ipiranga ? nunca te pedi nada 🙏🫠🙌
SÓ QUERO AGRADECER AO @IPIRANGA POR ESSA NOITE MARAVILHOSA #IpiranganoRIR #RockinRio</x:v>
      </x:c>
      <x:c t="inlineStr" r="G4">
        <x:is>
          <x:t/>
        </x:is>
      </x:c>
      <x:c t="inlineStr" r="H4"/>
      <x:c t="inlineStr" r="I4">
        <x:is>
          <x:t>Repostagem estendida</x:t>
        </x:is>
      </x:c>
      <x:c t="inlineStr" r="J4">
        <x:is>
          <x:t>Imagem,Texto</x:t>
        </x:is>
      </x:c>
      <x:c t="inlineStr" r="K4"/>
      <x:c r="L4">
        <x:f>HYPERLINK("https://x.com/lwtking91/status/2095274189267546608")</x:f>
      </x:c>
      <x:c t="inlineStr" r="M4">
        <x:is>
          <x:t>Negativo</x:t>
        </x:is>
      </x:c>
      <x:c t="inlineStr" r="N4">
        <x:is>
          <x:t>nicolle</x:t>
        </x:is>
      </x:c>
      <x:c t="inlineStr" r="O4">
        <x:is>
          <x:t>lwtking91</x:t>
        </x:is>
      </x:c>
      <x:c r="P4">
        <x:f>HYPERLINK("http://x.com/lwtking91")</x:f>
      </x:c>
      <x:c t="n" r="Q4">
        <x:v>3901</x:v>
      </x:c>
      <x:c t="inlineStr" r="R4">
        <x:is>
          <x:t>Mulher</x:t>
        </x:is>
      </x:c>
      <x:c t="inlineStr" r="S4"/>
      <x:c t="inlineStr" r="T4">
        <x:is>
          <x:t>x.com</x:t>
        </x:is>
      </x:c>
      <x:c t="inlineStr" r="U4"/>
      <x:c t="inlineStr" r="V4"/>
      <x:c t="inlineStr" r="W4"/>
      <x:c t="inlineStr" r="X4"/>
      <x:c t="inlineStr" r="Y4">
        <x:is>
          <x:t>Rede social</x:t>
        </x:is>
      </x:c>
      <x:c t="inlineStr" r="Z4">
        <x:is>
          <x:t>Português</x:t>
        </x:is>
      </x:c>
      <x:c t="inlineStr" r="AA4">
        <x:is>
          <x:t>Brasil</x:t>
        </x:is>
      </x:c>
      <x:c t="inlineStr" r="AB4"/>
      <x:c t="inlineStr" r="AC4"/>
      <x:c t="inlineStr" r="AD4"/>
      <x:c t="n" r="AE4">
        <x:v>0</x:v>
      </x:c>
      <x:c t="n" r="AF4">
        <x:v>0</x:v>
      </x:c>
      <x:c t="n" r="AG4">
        <x:v>0</x:v>
      </x:c>
      <x:c t="inlineStr" r="AH4"/>
      <x:c t="inlineStr" r="AI4"/>
      <x:c t="inlineStr" r="AJ4"/>
      <x:c t="inlineStr" r="AK4"/>
      <x:c t="inlineStr" r="AL4"/>
      <x:c t="inlineStr" r="AM4"/>
      <x:c t="inlineStr" r="AN4"/>
      <x:c t="n" r="AO4">
        <x:v>0</x:v>
      </x:c>
      <x:c t="n" r="AP4">
        <x:v>0</x:v>
      </x:c>
      <x:c t="n" r="AQ4">
        <x:v>24</x:v>
      </x:c>
      <x:c t="inlineStr" r="AR4"/>
      <x:c t="inlineStr" r="AS4"/>
      <x:c t="inlineStr" r="AT4"/>
      <x:c t="n" r="AU4">
        <x:v>3901</x:v>
      </x:c>
      <x:c t="inlineStr" r="AV4"/>
      <x:c t="inlineStr" r="AW4">
        <x:is>
          <x:t/>
        </x:is>
      </x:c>
      <x:c t="inlineStr" r="AX4">
        <x:is>
          <x:t>lighting,smartphone,black hair,long hair,clothing,sky</x:t>
        </x:is>
      </x:c>
      <x:c t="inlineStr" r="AY4">
        <x:is>
          <x:t>night,festival,outdoor</x:t>
        </x:is>
      </x:c>
      <x:c t="inlineStr" r="AZ4">
        <x:is>
          <x:t>woman</x:t>
        </x:is>
      </x:c>
      <x:c t="inlineStr" r="BA4">
        <x:is>
          <x:t>standing</x:t>
        </x:is>
      </x:c>
      <x:c t="inlineStr" r="BB4">
        <x:is>
          <x:t>PHOTO</x:t>
        </x:is>
      </x:c>
      <x:c t="inlineStr" r="BC4"/>
      <x:c r="BD4">
        <x:f>HYPERLINK("https://pbs.twimg.com/media/DKTwsslXkAA3cwZ.jpg")</x:f>
      </x:c>
      <x:c t="inlineStr" r="BE4">
        <x:is>
          <x:t/>
        </x:is>
      </x:c>
      <x:c t="inlineStr" r="BF4">
        <x:is>
          <x:t>Não</x:t>
        </x:is>
      </x:c>
      <x:c t="inlineStr" r="BG4"/>
      <x:c t="inlineStr" r="BH4">
        <x:is>
          <x:t/>
        </x:is>
      </x:c>
      <x:c t="inlineStr" r="BI4">
        <x:is>
          <x:t>WOM</x:t>
        </x:is>
      </x:c>
      <x:c t="inlineStr" r="BJ4"/>
      <x:c t="inlineStr" r="BK4">
        <x:is>
          <x:t>Ipiranga,Rock In Rio</x:t>
        </x:is>
      </x:c>
      <x:c t="inlineStr" r="BL4"/>
      <x:c t="inlineStr" r="BM4"/>
      <x:c t="inlineStr" r="BN4"/>
      <x:c t="inlineStr" r="BO4"/>
      <x:c t="inlineStr" r="BP4"/>
      <x:c t="inlineStr" r="BQ4"/>
      <x:c t="inlineStr" r="BR4"/>
      <x:c t="inlineStr" r="BS4"/>
      <x:c t="inlineStr" r="BT4"/>
      <x:c t="inlineStr" r="BU4"/>
      <x:c t="inlineStr" r="BV4"/>
      <x:c t="inlineStr" r="BW4"/>
      <x:c t="inlineStr" r="BX4"/>
      <x:c t="inlineStr" r="BY4"/>
      <x:c t="inlineStr" r="BZ4">
        <x:is>
          <x:t>Ipiranga</x:t>
        </x:is>
      </x:c>
      <x:c t="inlineStr" r="CA4"/>
      <x:c t="inlineStr" r="CB4"/>
      <x:c t="inlineStr" r="CC4"/>
      <x:c t="inlineStr" r="CD4"/>
      <x:c t="inlineStr" r="CE4">
        <x:is>
          <x:t>Rock In Rio</x:t>
        </x:is>
      </x:c>
      <x:c t="inlineStr" r="CF4"/>
    </x:row>
    <x:row r="5">
      <x:c t="n" r="A5">
        <x:v>4107287567</x:v>
      </x:c>
      <x:c t="inlineStr" r="B5">
        <x:is>
          <x:t>02.09.2026</x:t>
        </x:is>
      </x:c>
      <x:c t="inlineStr" r="C5">
        <x:is>
          <x:t>18:32</x:t>
        </x:is>
      </x:c>
      <x:c t="inlineStr" r="D5">
        <x:is>
          <x:t>02.09.2026 23:50</x:t>
        </x:is>
      </x:c>
      <x:c t="inlineStr" r="E5">
        <x:is>
          <x:t/>
        </x:is>
      </x:c>
      <x:c t="str" r="F5">
        <x:v>🎟️ Os ingressos de gramado para já estão disponíveis no app KMV. Resgate o seu usando pontos + dinheiro e ainda ganhe R$ 100 em vale-combustível.
Depois, é só fazer uma Parada Completa no Posto Ipiranga: abastecer com Ipimax, passar na AmPm ou no Jet Oil e seguir rumo ao Rock in Rio. 🤘⛽ 
#Ipiranga #KMV #RockinRio2026</x:v>
      </x:c>
      <x:c t="inlineStr" r="G5">
        <x:is>
          <x:t/>
        </x:is>
      </x:c>
      <x:c t="inlineStr" r="H5"/>
      <x:c t="inlineStr" r="I5">
        <x:is>
          <x:t>Postar</x:t>
        </x:is>
      </x:c>
      <x:c t="inlineStr" r="J5">
        <x:is>
          <x:t>Texto,Imagem</x:t>
        </x:is>
      </x:c>
      <x:c t="inlineStr" r="K5"/>
      <x:c r="L5">
        <x:f>HYPERLINK("https://www.instagram.com/p/DczNa73N4bf/")</x:f>
      </x:c>
      <x:c t="inlineStr" r="M5">
        <x:is>
          <x:t>Negativo</x:t>
        </x:is>
      </x:c>
      <x:c t="inlineStr" r="N5">
        <x:is>
          <x:t>Avenged Sevenfold Frases &amp; Versos 🇧🇷</x:t>
        </x:is>
      </x:c>
      <x:c t="inlineStr" r="O5">
        <x:is>
          <x:t>a7x_frases_versos</x:t>
        </x:is>
      </x:c>
      <x:c r="P5">
        <x:f>HYPERLINK("http://instagram.com/a7x_frases_versos")</x:f>
      </x:c>
      <x:c t="n" r="Q5">
        <x:v>55162</x:v>
      </x:c>
      <x:c t="inlineStr" r="R5"/>
      <x:c t="inlineStr" r="S5"/>
      <x:c t="inlineStr" r="T5">
        <x:is>
          <x:t>instagram.com</x:t>
        </x:is>
      </x:c>
      <x:c t="inlineStr" r="U5">
        <x:is>
          <x:t>Avenged Sevenfold Frases &amp; Versos 🇧🇷</x:t>
        </x:is>
      </x:c>
      <x:c r="V5">
        <x:f>HYPERLINK("http://instagram.com/a7x_frases_versos")</x:f>
      </x:c>
      <x:c t="n" r="W5">
        <x:v>55162</x:v>
      </x:c>
      <x:c t="inlineStr" r="X5"/>
      <x:c t="inlineStr" r="Y5">
        <x:is>
          <x:t>Rede social</x:t>
        </x:is>
      </x:c>
      <x:c t="inlineStr" r="Z5">
        <x:is>
          <x:t>Português</x:t>
        </x:is>
      </x:c>
      <x:c t="inlineStr" r="AA5"/>
      <x:c t="inlineStr" r="AB5"/>
      <x:c t="inlineStr" r="AC5"/>
      <x:c t="inlineStr" r="AD5"/>
      <x:c t="inlineStr" r="AE5"/>
      <x:c t="n" r="AF5">
        <x:v>0</x:v>
      </x:c>
      <x:c t="inlineStr" r="AG5"/>
      <x:c t="inlineStr" r="AH5"/>
      <x:c t="inlineStr" r="AI5"/>
      <x:c t="inlineStr" r="AJ5"/>
      <x:c t="inlineStr" r="AK5"/>
      <x:c t="inlineStr" r="AL5"/>
      <x:c t="inlineStr" r="AM5"/>
      <x:c t="inlineStr" r="AN5"/>
      <x:c t="n" r="AO5">
        <x:v>0</x:v>
      </x:c>
      <x:c t="inlineStr" r="AP5"/>
      <x:c t="inlineStr" r="AQ5"/>
      <x:c t="inlineStr" r="AR5"/>
      <x:c t="inlineStr" r="AS5"/>
      <x:c t="inlineStr" r="AT5"/>
      <x:c t="n" r="AU5">
        <x:v>55162</x:v>
      </x:c>
      <x:c t="inlineStr" r="AV5"/>
      <x:c t="inlineStr" r="AW5">
        <x:is>
          <x:t>Ipiranga</x:t>
        </x:is>
      </x:c>
      <x:c t="inlineStr" r="AX5">
        <x:is>
          <x:t>text,poster,emblem</x:t>
        </x:is>
      </x:c>
      <x:c t="inlineStr" r="AY5">
        <x:is>
          <x:t/>
        </x:is>
      </x:c>
      <x:c t="inlineStr" r="AZ5">
        <x:is>
          <x:t/>
        </x:is>
      </x:c>
      <x:c t="inlineStr" r="BA5">
        <x:is>
          <x:t/>
        </x:is>
      </x:c>
      <x:c t="inlineStr" r="BB5">
        <x:is>
          <x:t>ILLUSTRATION</x:t>
        </x:is>
      </x:c>
      <x:c t="inlineStr" r="BC5">
        <x:is>
          <x:t>advertising</x:t>
        </x:is>
      </x:c>
      <x:c t="inlineStr" r="BD5">
        <x:is>
          <x:t>https://scontent-sin2-3.cdninstagram.com/v/t51.82787-15/792053318_18579884356071342_3375562946131245679_n.jpg?stp=dst-jpg_e35_p1080x1080_tt6&amp;_nc_cat=107&amp;ig_cache_key=Mzk3NzU4MTkyMTQ4NjQ3MjkyNw%3D%3D.3-ccb7-5&amp;ccb=7-5&amp;_nc_sid=58cdad&amp;efg=eyJ2ZW5jb2RlX3RhZyI6IkZFRUQueHBpZHMuMTM1MC5zZHIucmVndWxhcl9waG90by5DMyJ9&amp;_nc_ohc=OFmeQQ88GTkQ7kNvwHo7D_3&amp;_nc_oc=Ado251YxiS_xMxYDwfZVNmS8WljyEPErU1UhlFjPOu7wzt5nm-1jl2G2pyj0pKG97mg&amp;_nc_zt=23&amp;_nc_ht=scontent-sin2-3.cdninstagram.com&amp;_nc_gid=DFL9QAtvxsHLy0xApAuemw&amp;_nc_ss=70a8c&amp;oh=00_AQIo4xeZOV-v9YnJj_7j71nwXngnTrHnHIABS4Gn_qazKA&amp;oe=6A9EA583</x:t>
        </x:is>
      </x:c>
      <x:c t="inlineStr" r="BE5">
        <x:is>
          <x:t/>
        </x:is>
      </x:c>
      <x:c t="inlineStr" r="BF5">
        <x:is>
          <x:t>Não</x:t>
        </x:is>
      </x:c>
      <x:c t="inlineStr" r="BG5"/>
      <x:c t="inlineStr" r="BH5">
        <x:is>
          <x:t/>
        </x:is>
      </x:c>
      <x:c t="inlineStr" r="BI5">
        <x:is>
          <x:t>Promoção</x:t>
        </x:is>
      </x:c>
      <x:c t="inlineStr" r="BJ5"/>
      <x:c t="inlineStr" r="BK5">
        <x:is>
          <x:t>Franquia - Jet Oil,Franquia - AmPm,Ipimax,Campanha: Parada Completa,Ipiranga,App KMV,Rock In Rio</x:t>
        </x:is>
      </x:c>
      <x:c t="inlineStr" r="BL5"/>
      <x:c t="inlineStr" r="BM5"/>
      <x:c t="inlineStr" r="BN5"/>
      <x:c t="inlineStr" r="BO5"/>
      <x:c t="inlineStr" r="BP5"/>
      <x:c t="inlineStr" r="BQ5"/>
      <x:c t="inlineStr" r="BR5"/>
      <x:c t="inlineStr" r="BS5"/>
      <x:c t="inlineStr" r="BT5"/>
      <x:c t="inlineStr" r="BU5"/>
      <x:c t="inlineStr" r="BV5">
        <x:is>
          <x:t>Franquia - AmPm</x:t>
        </x:is>
      </x:c>
      <x:c t="inlineStr" r="BW5">
        <x:is>
          <x:t>Ipimax</x:t>
        </x:is>
      </x:c>
      <x:c t="inlineStr" r="BX5">
        <x:is>
          <x:t>Franquia - Jet Oil</x:t>
        </x:is>
      </x:c>
      <x:c t="inlineStr" r="BY5">
        <x:is>
          <x:t>Campanha: Parada Completa</x:t>
        </x:is>
      </x:c>
      <x:c t="inlineStr" r="BZ5">
        <x:is>
          <x:t>Ipiranga</x:t>
        </x:is>
      </x:c>
      <x:c t="inlineStr" r="CA5"/>
      <x:c t="inlineStr" r="CB5"/>
      <x:c t="inlineStr" r="CC5"/>
      <x:c t="inlineStr" r="CD5">
        <x:is>
          <x:t>App KMV</x:t>
        </x:is>
      </x:c>
      <x:c t="inlineStr" r="CE5">
        <x:is>
          <x:t>Rock In Rio</x:t>
        </x:is>
      </x:c>
      <x:c t="inlineStr" r="CF5"/>
    </x:row>
    <x:row r="6">
      <x:c t="n" r="A6">
        <x:v>3859746478</x:v>
      </x:c>
      <x:c t="inlineStr" r="B6">
        <x:is>
          <x:t>02.09.2026</x:t>
        </x:is>
      </x:c>
      <x:c t="inlineStr" r="C6">
        <x:is>
          <x:t>17:45</x:t>
        </x:is>
      </x:c>
      <x:c t="inlineStr" r="D6">
        <x:is>
          <x:t>02.09.2026 22:01</x:t>
        </x:is>
      </x:c>
      <x:c t="inlineStr" r="E6">
        <x:is>
          <x:t/>
        </x:is>
      </x:c>
      <x:c t="str" r="F6">
        <x:v>Patrocinadora do #RockInRio há mais de 10 edições, a Ipiranga leva para a edição deste ano sua proposta de posto completo. Já no gramado, o público vai ser impactado com um dos brindes da marca: um leque na cor amarelo Ipiranga. A previsão é que cerca de 70 mil unidades sejam distribuídas durante todo o evento.
Com três andares em uma área total de 272m2, o térreo, onde estão as ativações, é focado na conexão com o público. Já o mezzanino e o rooftop, exclusivos para convidados da marca, oferecem conforto e visão privilegiada para o Palco Mundo.</x:v>
      </x:c>
      <x:c t="inlineStr" r="G6">
        <x:is>
          <x:t/>
        </x:is>
      </x:c>
      <x:c t="inlineStr" r="H6"/>
      <x:c t="inlineStr" r="I6">
        <x:is>
          <x:t>Postar</x:t>
        </x:is>
      </x:c>
      <x:c t="inlineStr" r="J6">
        <x:is>
          <x:t>Texto,Imagem</x:t>
        </x:is>
      </x:c>
      <x:c t="inlineStr" r="K6"/>
      <x:c r="L6">
        <x:f>HYPERLINK("https://www.instagram.com/p/DczH-uPJF6t/")</x:f>
      </x:c>
      <x:c t="inlineStr" r="M6">
        <x:is>
          <x:t>Negativo</x:t>
        </x:is>
      </x:c>
      <x:c t="inlineStr" r="N6">
        <x:is>
          <x:t>Conexão POP</x:t>
        </x:is>
      </x:c>
      <x:c t="inlineStr" r="O6">
        <x:is>
          <x:t>siteconexaopop</x:t>
        </x:is>
      </x:c>
      <x:c r="P6">
        <x:f>HYPERLINK("http://instagram.com/siteconexaopop")</x:f>
      </x:c>
      <x:c t="n" r="Q6">
        <x:v>38054</x:v>
      </x:c>
      <x:c t="inlineStr" r="R6">
        <x:is>
          <x:t>Comunidade</x:t>
        </x:is>
      </x:c>
      <x:c t="inlineStr" r="S6"/>
      <x:c t="inlineStr" r="T6">
        <x:is>
          <x:t>instagram.com</x:t>
        </x:is>
      </x:c>
      <x:c t="inlineStr" r="U6">
        <x:is>
          <x:t>Conexão POP</x:t>
        </x:is>
      </x:c>
      <x:c r="V6">
        <x:f>HYPERLINK("http://instagram.com/siteconexaopop")</x:f>
      </x:c>
      <x:c t="n" r="W6">
        <x:v>38054</x:v>
      </x:c>
      <x:c t="inlineStr" r="X6"/>
      <x:c t="inlineStr" r="Y6">
        <x:is>
          <x:t>Rede social</x:t>
        </x:is>
      </x:c>
      <x:c t="inlineStr" r="Z6">
        <x:is>
          <x:t>Português</x:t>
        </x:is>
      </x:c>
      <x:c t="inlineStr" r="AA6"/>
      <x:c t="inlineStr" r="AB6"/>
      <x:c t="inlineStr" r="AC6"/>
      <x:c t="inlineStr" r="AD6"/>
      <x:c t="n" r="AE6">
        <x:v>17</x:v>
      </x:c>
      <x:c t="n" r="AF6">
        <x:v>17</x:v>
      </x:c>
      <x:c t="n" r="AG6">
        <x:v>17</x:v>
      </x:c>
      <x:c t="inlineStr" r="AH6"/>
      <x:c t="inlineStr" r="AI6"/>
      <x:c t="inlineStr" r="AJ6"/>
      <x:c t="inlineStr" r="AK6"/>
      <x:c t="inlineStr" r="AL6"/>
      <x:c t="inlineStr" r="AM6"/>
      <x:c t="inlineStr" r="AN6"/>
      <x:c t="n" r="AO6">
        <x:v>0</x:v>
      </x:c>
      <x:c t="inlineStr" r="AP6"/>
      <x:c t="inlineStr" r="AQ6"/>
      <x:c t="inlineStr" r="AR6"/>
      <x:c t="inlineStr" r="AS6"/>
      <x:c t="inlineStr" r="AT6"/>
      <x:c t="n" r="AU6">
        <x:v>38054</x:v>
      </x:c>
      <x:c t="inlineStr" r="AV6"/>
      <x:c t="inlineStr" r="AW6">
        <x:is>
          <x:t/>
        </x:is>
      </x:c>
      <x:c t="inlineStr" r="AX6">
        <x:is>
          <x:t>text</x:t>
        </x:is>
      </x:c>
      <x:c t="inlineStr" r="AY6">
        <x:is>
          <x:t/>
        </x:is>
      </x:c>
      <x:c t="inlineStr" r="AZ6">
        <x:is>
          <x:t>woman</x:t>
        </x:is>
      </x:c>
      <x:c t="inlineStr" r="BA6">
        <x:is>
          <x:t/>
        </x:is>
      </x:c>
      <x:c t="inlineStr" r="BB6">
        <x:is>
          <x:t>ILLUSTRATION</x:t>
        </x:is>
      </x:c>
      <x:c t="inlineStr" r="BC6"/>
      <x:c t="inlineStr" r="BD6">
        <x:is>
          <x:t>https://scontent-iad6-1.cdninstagram.com/v/t51.82787-15/791305344_18429870199182285_761979689155970229_n.jpg?stp=dst-jpg_e35_p1080x1080_tt6&amp;_nc_cat=100&amp;ig_cache_key=Mzk3NzU1Nzk5MjQ3NzU4MDk3Mw%3D%3D.3-ccb7-5&amp;ccb=7-5&amp;_nc_sid=58cdad&amp;efg=eyJ2ZW5jb2RlX3RhZyI6IkZFRUQueHBpZHMuMTQ0MC5zZHIucmVndWxhcl9waG90by5DMyJ9&amp;_nc_ohc=P3E6FVVYdz4Q7kNvwGhZTVR&amp;_nc_oc=Ado6g-TmNGWep5Yo6IjkPWX25nblpF1Oda2szIZA83Hf8GO5C1kgqtuysQjCwVW5huaVACeYj4DRhGd68ed54k5T&amp;_nc_zt=23&amp;_nc_ht=scontent-iad6-1.cdninstagram.com&amp;_nc_gid=IhjXxW__sGT_CBVuWdXWaw&amp;_nc_ss=70689&amp;oh=00_AQLUjGLUs-kVsAyMMUP2ic9wWyhwOz_LMDEv2vJXasqe5g&amp;oe=6A9EAEA2</x:t>
        </x:is>
      </x:c>
      <x:c t="inlineStr" r="BE6">
        <x:is>
          <x:t/>
        </x:is>
      </x:c>
      <x:c t="inlineStr" r="BF6">
        <x:is>
          <x:t>Não</x:t>
        </x:is>
      </x:c>
      <x:c t="inlineStr" r="BG6"/>
      <x:c t="inlineStr" r="BH6">
        <x:is>
          <x:t>Acontecimento</x:t>
        </x:is>
      </x:c>
      <x:c t="inlineStr" r="BI6">
        <x:is>
          <x:t>Artigo</x:t>
        </x:is>
      </x:c>
      <x:c t="inlineStr" r="BJ6"/>
      <x:c t="inlineStr" r="BK6">
        <x:is>
          <x:t>Ipiranga,Rock In Rio</x:t>
        </x:is>
      </x:c>
      <x:c t="inlineStr" r="BL6"/>
      <x:c t="inlineStr" r="BM6"/>
      <x:c t="inlineStr" r="BN6"/>
      <x:c t="inlineStr" r="BO6"/>
      <x:c t="inlineStr" r="BP6"/>
      <x:c t="inlineStr" r="BQ6"/>
      <x:c t="inlineStr" r="BR6"/>
      <x:c t="inlineStr" r="BS6"/>
      <x:c t="inlineStr" r="BT6"/>
      <x:c t="inlineStr" r="BU6"/>
      <x:c t="inlineStr" r="BV6"/>
      <x:c t="inlineStr" r="BW6"/>
      <x:c t="inlineStr" r="BX6"/>
      <x:c t="inlineStr" r="BY6"/>
      <x:c t="inlineStr" r="BZ6">
        <x:is>
          <x:t>Ipiranga</x:t>
        </x:is>
      </x:c>
      <x:c t="inlineStr" r="CA6"/>
      <x:c t="inlineStr" r="CB6"/>
      <x:c t="inlineStr" r="CC6"/>
      <x:c t="inlineStr" r="CD6"/>
      <x:c t="inlineStr" r="CE6">
        <x:is>
          <x:t>Rock In Rio</x:t>
        </x:is>
      </x:c>
      <x:c t="inlineStr" r="CF6"/>
    </x:row>
    <x:row r="7">
      <x:c t="n" r="A7">
        <x:v>192247273</x:v>
      </x:c>
      <x:c t="inlineStr" r="B7">
        <x:is>
          <x:t>02.09.2026</x:t>
        </x:is>
      </x:c>
      <x:c t="inlineStr" r="C7">
        <x:is>
          <x:t>16:02</x:t>
        </x:is>
      </x:c>
      <x:c t="inlineStr" r="D7">
        <x:is>
          <x:t>02.09.2026 17:38</x:t>
        </x:is>
      </x:c>
      <x:c t="inlineStr" r="E7">
        <x:is>
          <x:t/>
        </x:is>
      </x:c>
      <x:c t="inlineStr" r="F7">
        <x:is>
          <x:t>Abastecendo com Ipimax + Km de Vantagens, a sua parada fica completa pro Rock in Rio 2026. Corre para as redes sociais da @ipiranga que tem mais sorteio rolando por lá #IpirangaNoRockinRio #ParadaCompleta #publi</x:t>
        </x:is>
      </x:c>
      <x:c t="inlineStr" r="G7">
        <x:is>
          <x:t/>
        </x:is>
      </x:c>
      <x:c t="inlineStr" r="H7"/>
      <x:c t="inlineStr" r="I7">
        <x:is>
          <x:t>Postar</x:t>
        </x:is>
      </x:c>
      <x:c t="inlineStr" r="J7">
        <x:is>
          <x:t>Texto,Vídeo</x:t>
        </x:is>
      </x:c>
      <x:c t="inlineStr" r="K7">
        <x:is>
          <x:t>InstagramReels</x:t>
        </x:is>
      </x:c>
      <x:c r="L7">
        <x:f>HYPERLINK("https://www.instagram.com/p/Dcy8ApGMxuM/")</x:f>
      </x:c>
      <x:c t="inlineStr" r="M7">
        <x:is>
          <x:t>Negativo</x:t>
        </x:is>
      </x:c>
      <x:c t="inlineStr" r="N7">
        <x:is>
          <x:t>Ipiranga</x:t>
        </x:is>
      </x:c>
      <x:c t="inlineStr" r="O7">
        <x:is>
          <x:t>ipiranga</x:t>
        </x:is>
      </x:c>
      <x:c r="P7">
        <x:f>HYPERLINK("http://instagram.com/ipiranga")</x:f>
      </x:c>
      <x:c t="n" r="Q7">
        <x:v>236010</x:v>
      </x:c>
      <x:c t="inlineStr" r="R7"/>
      <x:c t="inlineStr" r="S7"/>
      <x:c t="inlineStr" r="T7">
        <x:is>
          <x:t>instagram.com</x:t>
        </x:is>
      </x:c>
      <x:c t="inlineStr" r="U7">
        <x:is>
          <x:t>Ipiranga</x:t>
        </x:is>
      </x:c>
      <x:c r="V7">
        <x:f>HYPERLINK("http://instagram.com/ipiranga")</x:f>
      </x:c>
      <x:c t="n" r="W7">
        <x:v>236010</x:v>
      </x:c>
      <x:c t="inlineStr" r="X7"/>
      <x:c t="inlineStr" r="Y7">
        <x:is>
          <x:t>Rede social</x:t>
        </x:is>
      </x:c>
      <x:c t="inlineStr" r="Z7">
        <x:is>
          <x:t>Português</x:t>
        </x:is>
      </x:c>
      <x:c t="inlineStr" r="AA7"/>
      <x:c t="inlineStr" r="AB7"/>
      <x:c t="inlineStr" r="AC7"/>
      <x:c t="inlineStr" r="AD7"/>
      <x:c t="n" r="AE7">
        <x:v>343</x:v>
      </x:c>
      <x:c t="n" r="AF7">
        <x:v>384</x:v>
      </x:c>
      <x:c t="n" r="AG7">
        <x:v>343</x:v>
      </x:c>
      <x:c t="inlineStr" r="AH7"/>
      <x:c t="inlineStr" r="AI7"/>
      <x:c t="inlineStr" r="AJ7"/>
      <x:c t="inlineStr" r="AK7"/>
      <x:c t="inlineStr" r="AL7"/>
      <x:c t="inlineStr" r="AM7"/>
      <x:c t="inlineStr" r="AN7"/>
      <x:c t="n" r="AO7">
        <x:v>41</x:v>
      </x:c>
      <x:c t="inlineStr" r="AP7"/>
      <x:c t="inlineStr" r="AQ7"/>
      <x:c t="inlineStr" r="AR7"/>
      <x:c t="inlineStr" r="AS7"/>
      <x:c t="inlineStr" r="AT7"/>
      <x:c t="n" r="AU7">
        <x:v>236010</x:v>
      </x:c>
      <x:c t="inlineStr" r="AV7"/>
      <x:c t="inlineStr" r="AW7">
        <x:is>
          <x:t>Ipiranga,Ipimax</x:t>
        </x:is>
      </x:c>
      <x:c t="inlineStr" r="AX7">
        <x:is>
          <x:t>clothing,jeans,vehicle,car,shirt,skin,denim,signage</x:t>
        </x:is>
      </x:c>
      <x:c t="inlineStr" r="AY7">
        <x:is>
          <x:t>outdoor</x:t>
        </x:is>
      </x:c>
      <x:c t="inlineStr" r="AZ7">
        <x:is>
          <x:t>woman</x:t>
        </x:is>
      </x:c>
      <x:c t="inlineStr" r="BA7">
        <x:is>
          <x:t>smile,standing</x:t>
        </x:is>
      </x:c>
      <x:c t="inlineStr" r="BB7">
        <x:is>
          <x:t>PHOTO</x:t>
        </x:is>
      </x:c>
      <x:c t="inlineStr" r="BC7"/>
      <x:c t="inlineStr" r="BD7">
        <x:is>
          <x:t>https://scontent-ams2-1.cdninstagram.com/v/t51.82787-15/792021506_18616359340028959_2719153054356543492_n.jpg?stp=dst-jpg_e35_p1080x1080_sh2.08_tt6&amp;_nc_cat=103&amp;ig_cache_key=Mzk3NzUwNTM0NzgzOTY2Mjk4ODE4NjE2MzU5MzM3MDI4OTU5.3-ccb7-5&amp;ccb=7-5&amp;_nc_sid=58cdad&amp;efg=eyJ2ZW5jb2RlX3RhZyI6IkNMSVBTLnhwaWRzLjEyMTYuc2RyLnZpZGVvX2RlZmF1bHRfY292ZXJfZnJhbWUuQzMifQ%3D%3D&amp;_nc_ohc=EJfinPt2z4oQ7kNvwGuItDr&amp;_nc_oc=Ado924ofuGj7bwIrczvoWoEhI7miRuOESwr-FGOQSc6gLfM0p0HX6Ieu5fXSoB6_4flvfzVAIkAVzgz5QbdpOUf_&amp;_nc_zt=23&amp;_nc_ht=scontent-ams2-1.cdninstagram.com&amp;_nc_gid=pan0u2p-bWZiYAGfmnrFhw&amp;_nc_ss=70689&amp;oh=00_AQIz7nCslTRIe62p97m-9a9-dvqjzn5PkUS6iWOIurldAQ&amp;oe=6A9E56AD</x:t>
        </x:is>
      </x:c>
      <x:c t="inlineStr" r="BE7">
        <x:is>
          <x:t/>
        </x:is>
      </x:c>
      <x:c t="inlineStr" r="BF7">
        <x:is>
          <x:t>Não</x:t>
        </x:is>
      </x:c>
      <x:c t="inlineStr" r="BG7"/>
      <x:c t="inlineStr" r="BH7">
        <x:is>
          <x:t/>
        </x:is>
      </x:c>
      <x:c t="inlineStr" r="BI7">
        <x:is>
          <x:t>Giveaway</x:t>
        </x:is>
      </x:c>
      <x:c t="inlineStr" r="BJ7"/>
      <x:c t="inlineStr" r="BK7">
        <x:is>
          <x:t>Ipiranga - Contas Oficiais,Ipimax,Campanha: Parada Completa,Ipiranga,App KMV,Rock In Rio</x:t>
        </x:is>
      </x:c>
      <x:c t="inlineStr" r="BL7"/>
      <x:c t="inlineStr" r="BM7"/>
      <x:c t="inlineStr" r="BN7"/>
      <x:c t="inlineStr" r="BO7"/>
      <x:c t="inlineStr" r="BP7"/>
      <x:c t="inlineStr" r="BQ7">
        <x:is>
          <x:t>Ipiranga - Contas Oficiais</x:t>
        </x:is>
      </x:c>
      <x:c t="inlineStr" r="BR7"/>
      <x:c t="inlineStr" r="BS7"/>
      <x:c t="inlineStr" r="BT7"/>
      <x:c t="inlineStr" r="BU7"/>
      <x:c t="inlineStr" r="BV7"/>
      <x:c t="inlineStr" r="BW7">
        <x:is>
          <x:t>Ipimax</x:t>
        </x:is>
      </x:c>
      <x:c t="inlineStr" r="BX7"/>
      <x:c t="inlineStr" r="BY7">
        <x:is>
          <x:t>Campanha: Parada Completa</x:t>
        </x:is>
      </x:c>
      <x:c t="inlineStr" r="BZ7">
        <x:is>
          <x:t>Ipiranga</x:t>
        </x:is>
      </x:c>
      <x:c t="inlineStr" r="CA7"/>
      <x:c t="inlineStr" r="CB7"/>
      <x:c t="inlineStr" r="CC7"/>
      <x:c t="inlineStr" r="CD7">
        <x:is>
          <x:t>App KMV</x:t>
        </x:is>
      </x:c>
      <x:c t="inlineStr" r="CE7">
        <x:is>
          <x:t>Rock In Rio</x:t>
        </x:is>
      </x:c>
      <x:c t="inlineStr" r="CF7"/>
    </x:row>
    <x:row r="8">
      <x:c t="n" r="A8">
        <x:v>2596335078</x:v>
      </x:c>
      <x:c t="inlineStr" r="B8">
        <x:is>
          <x:t>02.09.2026</x:t>
        </x:is>
      </x:c>
      <x:c t="inlineStr" r="C8">
        <x:is>
          <x:t>12:36</x:t>
        </x:is>
      </x:c>
      <x:c t="inlineStr" r="D8">
        <x:is>
          <x:t>02.09.2026 14:05</x:t>
        </x:is>
      </x:c>
      <x:c t="inlineStr" r="E8">
        <x:is>
          <x:t/>
        </x:is>
      </x:c>
      <x:c t="str" r="F8">
        <x:v>Participar Promoção Ingressos RiR Ipiranga 2026
São 400 prêmios: 300 ingressos individuais + 100 pares para o setor Gramado.
https://www.cadastrarnapromocao.com.br/2026/09/promocao-ipiranga-2026-ingressos-rir.html
Promoção Ipiranga 2026 Ingressos RiR Ingressos Rock in Rio participe até 02/09/2026
Promoção Ipiranga 2026 Ingressos RiR Ingressos Rock in Rio participe até 02/09/2026. Saiba os detalhes e participe.</x:v>
      </x:c>
      <x:c t="inlineStr" r="G8">
        <x:is>
          <x:t/>
        </x:is>
      </x:c>
      <x:c t="inlineStr" r="H8"/>
      <x:c t="inlineStr" r="I8">
        <x:is>
          <x:t>Postar</x:t>
        </x:is>
      </x:c>
      <x:c t="inlineStr" r="J8">
        <x:is>
          <x:t>Link,Texto</x:t>
        </x:is>
      </x:c>
      <x:c t="inlineStr" r="K8"/>
      <x:c r="L8">
        <x:f>HYPERLINK("https://x.com/cadastrarpromo/status/2095174044333068668")</x:f>
      </x:c>
      <x:c t="inlineStr" r="M8">
        <x:is>
          <x:t>Negativo</x:t>
        </x:is>
      </x:c>
      <x:c t="inlineStr" r="N8">
        <x:is>
          <x:t>Cadastrar na Promoção</x:t>
        </x:is>
      </x:c>
      <x:c t="inlineStr" r="O8">
        <x:is>
          <x:t>cadastrarpromo</x:t>
        </x:is>
      </x:c>
      <x:c r="P8">
        <x:f>HYPERLINK("http://x.com/cadastrarpromo")</x:f>
      </x:c>
      <x:c t="n" r="Q8">
        <x:v>364</x:v>
      </x:c>
      <x:c t="inlineStr" r="R8"/>
      <x:c t="inlineStr" r="S8"/>
      <x:c t="inlineStr" r="T8">
        <x:is>
          <x:t>x.com</x:t>
        </x:is>
      </x:c>
      <x:c t="inlineStr" r="U8"/>
      <x:c t="inlineStr" r="V8"/>
      <x:c t="inlineStr" r="W8"/>
      <x:c t="inlineStr" r="X8"/>
      <x:c t="inlineStr" r="Y8">
        <x:is>
          <x:t>Rede social</x:t>
        </x:is>
      </x:c>
      <x:c t="inlineStr" r="Z8">
        <x:is>
          <x:t>Português</x:t>
        </x:is>
      </x:c>
      <x:c t="inlineStr" r="AA8">
        <x:is>
          <x:t>Brasil</x:t>
        </x:is>
      </x:c>
      <x:c t="inlineStr" r="AB8"/>
      <x:c t="inlineStr" r="AC8"/>
      <x:c t="inlineStr" r="AD8"/>
      <x:c t="n" r="AE8">
        <x:v>1</x:v>
      </x:c>
      <x:c t="n" r="AF8">
        <x:v>1</x:v>
      </x:c>
      <x:c t="n" r="AG8">
        <x:v>1</x:v>
      </x:c>
      <x:c t="inlineStr" r="AH8"/>
      <x:c t="inlineStr" r="AI8"/>
      <x:c t="inlineStr" r="AJ8"/>
      <x:c t="inlineStr" r="AK8"/>
      <x:c t="inlineStr" r="AL8"/>
      <x:c t="inlineStr" r="AM8"/>
      <x:c t="inlineStr" r="AN8"/>
      <x:c t="inlineStr" r="AO8"/>
      <x:c t="inlineStr" r="AP8"/>
      <x:c t="n" r="AQ8">
        <x:v>13</x:v>
      </x:c>
      <x:c t="inlineStr" r="AR8"/>
      <x:c t="inlineStr" r="AS8"/>
      <x:c t="inlineStr" r="AT8"/>
      <x:c t="n" r="AU8">
        <x:v>364</x:v>
      </x:c>
      <x:c t="inlineStr" r="AV8"/>
      <x:c t="inlineStr" r="AW8">
        <x:is>
          <x:t/>
        </x:is>
      </x:c>
      <x:c t="inlineStr" r="AX8">
        <x:is>
          <x:t>text,shirt,clothing</x:t>
        </x:is>
      </x:c>
      <x:c t="inlineStr" r="AY8">
        <x:is>
          <x:t/>
        </x:is>
      </x:c>
      <x:c t="inlineStr" r="AZ8">
        <x:is>
          <x:t>man</x:t>
        </x:is>
      </x:c>
      <x:c t="inlineStr" r="BA8">
        <x:is>
          <x:t>smile</x:t>
        </x:is>
      </x:c>
      <x:c t="inlineStr" r="BB8">
        <x:is>
          <x:t>ILLUSTRATION</x:t>
        </x:is>
      </x:c>
      <x:c t="inlineStr" r="BC8">
        <x:is>
          <x:t>advertising</x:t>
        </x:is>
      </x:c>
      <x:c r="BD8">
        <x:f>HYPERLINK("https://pbs.twimg.com/card_img/2095174087425376258/WD24VPwf?format=jpg&amp;name=orig")</x:f>
      </x:c>
      <x:c t="inlineStr" r="BE8">
        <x:is>
          <x:t/>
        </x:is>
      </x:c>
      <x:c t="inlineStr" r="BF8">
        <x:is>
          <x:t>Não</x:t>
        </x:is>
      </x:c>
      <x:c t="inlineStr" r="BG8"/>
      <x:c t="inlineStr" r="BH8">
        <x:is>
          <x:t/>
        </x:is>
      </x:c>
      <x:c t="inlineStr" r="BI8">
        <x:is>
          <x:t>Giveaway</x:t>
        </x:is>
      </x:c>
      <x:c t="inlineStr" r="BJ8"/>
      <x:c t="inlineStr" r="BK8">
        <x:is>
          <x:t>Ipiranga,Rock In Rio</x:t>
        </x:is>
      </x:c>
      <x:c t="inlineStr" r="BL8"/>
      <x:c t="inlineStr" r="BM8"/>
      <x:c t="inlineStr" r="BN8"/>
      <x:c t="inlineStr" r="BO8"/>
      <x:c t="inlineStr" r="BP8"/>
      <x:c t="inlineStr" r="BQ8"/>
      <x:c t="inlineStr" r="BR8"/>
      <x:c t="inlineStr" r="BS8"/>
      <x:c t="inlineStr" r="BT8"/>
      <x:c t="inlineStr" r="BU8"/>
      <x:c t="inlineStr" r="BV8"/>
      <x:c t="inlineStr" r="BW8"/>
      <x:c t="inlineStr" r="BX8"/>
      <x:c t="inlineStr" r="BY8"/>
      <x:c t="inlineStr" r="BZ8">
        <x:is>
          <x:t>Ipiranga</x:t>
        </x:is>
      </x:c>
      <x:c t="inlineStr" r="CA8"/>
      <x:c t="inlineStr" r="CB8"/>
      <x:c t="inlineStr" r="CC8"/>
      <x:c t="inlineStr" r="CD8"/>
      <x:c t="inlineStr" r="CE8">
        <x:is>
          <x:t>Rock In Rio</x:t>
        </x:is>
      </x:c>
      <x:c t="inlineStr" r="CF8"/>
    </x:row>
    <x:row r="9">
      <x:c t="n" r="A9">
        <x:v>4143934839</x:v>
      </x:c>
      <x:c t="inlineStr" r="B9">
        <x:is>
          <x:t>02.09.2026</x:t>
        </x:is>
      </x:c>
      <x:c t="inlineStr" r="C9">
        <x:is>
          <x:t>09:42</x:t>
        </x:is>
      </x:c>
      <x:c t="inlineStr" r="D9">
        <x:is>
          <x:t>02.09.2026 13:17</x:t>
        </x:is>
      </x:c>
      <x:c t="inlineStr" r="E9">
        <x:is>
          <x:t/>
        </x:is>
      </x:c>
      <x:c t="inlineStr" r="F9">
        <x:is>
          <x:t>TUDO ISSO E MUITO MAIS NO NOSSO QUERIDO @Rock in Rio 📸 AS MINI CÂMERAS 📸 mini câmera fotográfica @DHL Express Brasil  📸 mini câmera colecionável + fast pass da montanha-russa @iFood  📸 mini câmera (só na área VIP, linha Gourmet) @Seara Brasil  📸 mini câmera preta e branca @C&amp;A Brasil  🔊 SOM E CONEXÃO 🔊 caixa de som Philco Extreme + mini bag @Philco Brasil  🍺 The Clinker, pulseira que conecta com o copo @Heineken Brasil  👜 BOLSAS E POCHETES 👜 shoulder bag + jaqueta jeans @cea_brasil 🌬️ shoulder bag + leque @trident_brasil  🍜 shoulder bag linha Carbonara @Cup Noodles Brasil  🔺 pochete, bucket hat e shoulder bag @Doritos Brasil  🥤 bucket hat, porta-copo e shoulder bag (Schweppes) 🧡 pochete laranja modular @Naturabr  ⛽ pochete + leque @ipiranga  ✨ clutch + tatuagens que brilham no escuro  #creatorsearchinsights #rockinrio #rj #sp #brinde </x:t>
        </x:is>
      </x:c>
      <x:c t="inlineStr" r="G9">
        <x:is>
          <x:t/>
        </x:is>
      </x:c>
      <x:c t="inlineStr" r="H9"/>
      <x:c t="inlineStr" r="I9">
        <x:is>
          <x:t>Postar</x:t>
        </x:is>
      </x:c>
      <x:c t="inlineStr" r="J9">
        <x:is>
          <x:t>Imagem,Álbum,Texto</x:t>
        </x:is>
      </x:c>
      <x:c t="inlineStr" r="K9">
        <x:is>
          <x:t>TikTokPhoto</x:t>
        </x:is>
      </x:c>
      <x:c r="L9">
        <x:f>HYPERLINK("https://www.tiktok.com/@vizycius/video/7680917376115723528")</x:f>
      </x:c>
      <x:c t="inlineStr" r="M9">
        <x:is>
          <x:t>Negativo</x:t>
        </x:is>
      </x:c>
      <x:c t="inlineStr" r="N9">
        <x:is>
          <x:t>Vizynho</x:t>
        </x:is>
      </x:c>
      <x:c t="inlineStr" r="O9">
        <x:is>
          <x:t>vizycius</x:t>
        </x:is>
      </x:c>
      <x:c r="P9">
        <x:f>HYPERLINK("https://www.tiktok.com/share/user/194027290735960064")</x:f>
      </x:c>
      <x:c t="n" r="Q9">
        <x:v>23200</x:v>
      </x:c>
      <x:c t="inlineStr" r="R9"/>
      <x:c t="inlineStr" r="S9"/>
      <x:c t="inlineStr" r="T9">
        <x:is>
          <x:t>tiktok.com</x:t>
        </x:is>
      </x:c>
      <x:c t="inlineStr" r="U9">
        <x:is>
          <x:t>Vizynho</x:t>
        </x:is>
      </x:c>
      <x:c r="V9">
        <x:f>HYPERLINK("https://www.tiktok.com/share/user/194027290735960064")</x:f>
      </x:c>
      <x:c t="n" r="W9">
        <x:v>23200</x:v>
      </x:c>
      <x:c t="inlineStr" r="X9"/>
      <x:c t="inlineStr" r="Y9">
        <x:is>
          <x:t>Rede social</x:t>
        </x:is>
      </x:c>
      <x:c t="inlineStr" r="Z9">
        <x:is>
          <x:t>Português</x:t>
        </x:is>
      </x:c>
      <x:c t="inlineStr" r="AA9">
        <x:is>
          <x:t>Brasil</x:t>
        </x:is>
      </x:c>
      <x:c t="inlineStr" r="AB9">
        <x:is>
          <x:t>São Paulo</x:t>
        </x:is>
      </x:c>
      <x:c t="inlineStr" r="AC9">
        <x:is>
          <x:t>São Paulo</x:t>
        </x:is>
      </x:c>
      <x:c t="inlineStr" r="AD9"/>
      <x:c t="n" r="AE9">
        <x:v>18</x:v>
      </x:c>
      <x:c t="n" r="AF9">
        <x:v>22</x:v>
      </x:c>
      <x:c t="n" r="AG9">
        <x:v>18</x:v>
      </x:c>
      <x:c t="inlineStr" r="AH9"/>
      <x:c t="inlineStr" r="AI9"/>
      <x:c t="inlineStr" r="AJ9"/>
      <x:c t="inlineStr" r="AK9"/>
      <x:c t="inlineStr" r="AL9"/>
      <x:c t="inlineStr" r="AM9"/>
      <x:c t="inlineStr" r="AN9"/>
      <x:c t="n" r="AO9">
        <x:v>2</x:v>
      </x:c>
      <x:c t="n" r="AP9">
        <x:v>2</x:v>
      </x:c>
      <x:c t="n" r="AQ9">
        <x:v>405</x:v>
      </x:c>
      <x:c t="inlineStr" r="AR9"/>
      <x:c t="inlineStr" r="AS9"/>
      <x:c t="n" r="AT9">
        <x:v>3</x:v>
      </x:c>
      <x:c t="n" r="AU9">
        <x:v>23200</x:v>
      </x:c>
      <x:c t="inlineStr" r="AV9"/>
      <x:c t="inlineStr" r="AW9">
        <x:is>
          <x:t/>
        </x:is>
      </x:c>
      <x:c t="inlineStr" r="AX9">
        <x:is>
          <x:t>text,sky</x:t>
        </x:is>
      </x:c>
      <x:c t="inlineStr" r="AY9">
        <x:is>
          <x:t>outdoor</x:t>
        </x:is>
      </x:c>
      <x:c t="inlineStr" r="AZ9">
        <x:is>
          <x:t>man,woman</x:t>
        </x:is>
      </x:c>
      <x:c t="inlineStr" r="BA9">
        <x:is>
          <x:t/>
        </x:is>
      </x:c>
      <x:c t="inlineStr" r="BB9">
        <x:is>
          <x:t>ILLUSTRATION</x:t>
        </x:is>
      </x:c>
      <x:c t="inlineStr" r="BC9">
        <x:is>
          <x:t>photo caption</x:t>
        </x:is>
      </x:c>
      <x:c t="inlineStr" r="BD9">
        <x:is>
          <x:t>https://p16-common-sign.tiktokcdn-eu.com/tos-alisg-i-photomode-sg/aff25ffdfb4b49aabe201c6b0c091205~tplv-photomode-image.jpeg?dr=10375&amp;x-expires=1788537600&amp;x-signature=edvhLHYyUK9IYMPST479vyDkhlg%3D&amp;t=4d5b0474&amp;ps=13740610&amp;shp=81f88b70&amp;shcp=9b759fb9&amp;idc=no1a&amp;ftpl=1</x:t>
        </x:is>
      </x:c>
      <x:c t="inlineStr" r="BE9">
        <x:is>
          <x:t/>
        </x:is>
      </x:c>
      <x:c t="inlineStr" r="BF9">
        <x:is>
          <x:t>Não</x:t>
        </x:is>
      </x:c>
      <x:c t="inlineStr" r="BG9"/>
      <x:c t="inlineStr" r="BH9">
        <x:is>
          <x:t>Turismo</x:t>
        </x:is>
      </x:c>
      <x:c t="inlineStr" r="BI9">
        <x:is>
          <x:t>Promoção</x:t>
        </x:is>
      </x:c>
      <x:c t="inlineStr" r="BJ9"/>
      <x:c t="inlineStr" r="BK9">
        <x:is>
          <x:t>Ipiranga,Rock In Rio</x:t>
        </x:is>
      </x:c>
      <x:c t="inlineStr" r="BL9"/>
      <x:c t="inlineStr" r="BM9"/>
      <x:c t="inlineStr" r="BN9"/>
      <x:c t="inlineStr" r="BO9"/>
      <x:c t="inlineStr" r="BP9"/>
      <x:c t="inlineStr" r="BQ9"/>
      <x:c t="inlineStr" r="BR9"/>
      <x:c t="inlineStr" r="BS9"/>
      <x:c t="inlineStr" r="BT9"/>
      <x:c t="inlineStr" r="BU9"/>
      <x:c t="inlineStr" r="BV9"/>
      <x:c t="inlineStr" r="BW9"/>
      <x:c t="inlineStr" r="BX9"/>
      <x:c t="inlineStr" r="BY9"/>
      <x:c t="inlineStr" r="BZ9">
        <x:is>
          <x:t>Ipiranga</x:t>
        </x:is>
      </x:c>
      <x:c t="inlineStr" r="CA9"/>
      <x:c t="inlineStr" r="CB9"/>
      <x:c t="inlineStr" r="CC9"/>
      <x:c t="inlineStr" r="CD9"/>
      <x:c t="inlineStr" r="CE9">
        <x:is>
          <x:t>Rock In Rio</x:t>
        </x:is>
      </x:c>
      <x:c t="inlineStr" r="CF9"/>
    </x:row>
    <x:row r="10">
      <x:c t="n" r="A10">
        <x:v>1519834195</x:v>
      </x:c>
      <x:c t="inlineStr" r="B10">
        <x:is>
          <x:t>02.09.2026</x:t>
        </x:is>
      </x:c>
      <x:c t="inlineStr" r="C10">
        <x:is>
          <x:t>07:58</x:t>
        </x:is>
      </x:c>
      <x:c t="inlineStr" r="D10">
        <x:is>
          <x:t>02.09.2026 08:00</x:t>
        </x:is>
      </x:c>
      <x:c t="inlineStr" r="E10">
        <x:is>
          <x:t/>
        </x:is>
      </x:c>
      <x:c t="inlineStr" r="F10">
        <x:is>
          <x:t>gente eu NUNCA vejo nesses sorteios pro rock in rio alguém que quer ver a laufey tipo EU VENDERIA MINHA CASA PRA VER ELA pois alguem me leve ja @seara_brasil @iFood @itau @CocaCola @heinekenbr @ipiranga @KitKatBrasil @cea_brasil</x:t>
        </x:is>
      </x:c>
      <x:c t="inlineStr" r="G10">
        <x:is>
          <x:t/>
        </x:is>
      </x:c>
      <x:c t="inlineStr" r="H10"/>
      <x:c t="inlineStr" r="I10">
        <x:is>
          <x:t>Postar</x:t>
        </x:is>
      </x:c>
      <x:c t="inlineStr" r="J10">
        <x:is>
          <x:t>Texto</x:t>
        </x:is>
      </x:c>
      <x:c t="inlineStr" r="K10"/>
      <x:c r="L10">
        <x:f>HYPERLINK("https://x.com/sadgirlieinlove/status/2095104045232869800")</x:f>
      </x:c>
      <x:c t="inlineStr" r="M10">
        <x:is>
          <x:t>Negativo</x:t>
        </x:is>
      </x:c>
      <x:c t="inlineStr" r="N10">
        <x:is>
          <x:t>rafinha carpenter ★ juridico read your mind</x:t>
        </x:is>
      </x:c>
      <x:c t="inlineStr" r="O10">
        <x:is>
          <x:t>sadgirlieinlove</x:t>
        </x:is>
      </x:c>
      <x:c r="P10">
        <x:f>HYPERLINK("http://x.com/sadgirlieinlove")</x:f>
      </x:c>
      <x:c t="n" r="Q10">
        <x:v>387</x:v>
      </x:c>
      <x:c t="inlineStr" r="R10"/>
      <x:c t="inlineStr" r="S10"/>
      <x:c t="inlineStr" r="T10">
        <x:is>
          <x:t>x.com</x:t>
        </x:is>
      </x:c>
      <x:c t="inlineStr" r="U10"/>
      <x:c t="inlineStr" r="V10"/>
      <x:c t="inlineStr" r="W10"/>
      <x:c t="inlineStr" r="X10"/>
      <x:c t="inlineStr" r="Y10">
        <x:is>
          <x:t>Rede social</x:t>
        </x:is>
      </x:c>
      <x:c t="inlineStr" r="Z10">
        <x:is>
          <x:t>Português</x:t>
        </x:is>
      </x:c>
      <x:c t="inlineStr" r="AA10">
        <x:is>
          <x:t>Brasil</x:t>
        </x:is>
      </x:c>
      <x:c t="inlineStr" r="AB10"/>
      <x:c t="inlineStr" r="AC10"/>
      <x:c t="inlineStr" r="AD10"/>
      <x:c t="n" r="AE10">
        <x:v>0</x:v>
      </x:c>
      <x:c t="n" r="AF10">
        <x:v>0</x:v>
      </x:c>
      <x:c t="n" r="AG10">
        <x:v>0</x:v>
      </x:c>
      <x:c t="inlineStr" r="AH10"/>
      <x:c t="inlineStr" r="AI10"/>
      <x:c t="inlineStr" r="AJ10"/>
      <x:c t="inlineStr" r="AK10"/>
      <x:c t="inlineStr" r="AL10"/>
      <x:c t="inlineStr" r="AM10"/>
      <x:c t="inlineStr" r="AN10"/>
      <x:c t="n" r="AO10">
        <x:v>0</x:v>
      </x:c>
      <x:c t="n" r="AP10">
        <x:v>0</x:v>
      </x:c>
      <x:c t="n" r="AQ10">
        <x:v>24</x:v>
      </x:c>
      <x:c t="inlineStr" r="AR10"/>
      <x:c t="inlineStr" r="AS10"/>
      <x:c t="inlineStr" r="AT10"/>
      <x:c t="n" r="AU10">
        <x:v>387</x:v>
      </x:c>
      <x:c t="inlineStr" r="AV10"/>
      <x:c t="inlineStr" r="AW10"/>
      <x:c t="inlineStr" r="AX10"/>
      <x:c t="inlineStr" r="AY10"/>
      <x:c t="inlineStr" r="AZ10"/>
      <x:c t="inlineStr" r="BA10"/>
      <x:c t="inlineStr" r="BB10"/>
      <x:c t="inlineStr" r="BC10"/>
      <x:c t="inlineStr" r="BD10"/>
      <x:c t="inlineStr" r="BE10">
        <x:is>
          <x:t/>
        </x:is>
      </x:c>
      <x:c t="inlineStr" r="BF10">
        <x:is>
          <x:t>Não</x:t>
        </x:is>
      </x:c>
      <x:c t="inlineStr" r="BG10"/>
      <x:c t="inlineStr" r="BH10">
        <x:is>
          <x:t/>
        </x:is>
      </x:c>
      <x:c t="inlineStr" r="BI10">
        <x:is>
          <x:t>WOM</x:t>
        </x:is>
      </x:c>
      <x:c t="inlineStr" r="BJ10"/>
      <x:c t="inlineStr" r="BK10">
        <x:is>
          <x:t>Ipiranga,Rock In Rio</x:t>
        </x:is>
      </x:c>
      <x:c t="inlineStr" r="BL10"/>
      <x:c t="inlineStr" r="BM10"/>
      <x:c t="inlineStr" r="BN10"/>
      <x:c t="inlineStr" r="BO10"/>
      <x:c t="inlineStr" r="BP10"/>
      <x:c t="inlineStr" r="BQ10"/>
      <x:c t="inlineStr" r="BR10"/>
      <x:c t="inlineStr" r="BS10"/>
      <x:c t="inlineStr" r="BT10"/>
      <x:c t="inlineStr" r="BU10"/>
      <x:c t="inlineStr" r="BV10"/>
      <x:c t="inlineStr" r="BW10"/>
      <x:c t="inlineStr" r="BX10"/>
      <x:c t="inlineStr" r="BY10"/>
      <x:c t="inlineStr" r="BZ10">
        <x:is>
          <x:t>Ipiranga</x:t>
        </x:is>
      </x:c>
      <x:c t="inlineStr" r="CA10"/>
      <x:c t="inlineStr" r="CB10"/>
      <x:c t="inlineStr" r="CC10"/>
      <x:c t="inlineStr" r="CD10"/>
      <x:c t="inlineStr" r="CE10">
        <x:is>
          <x:t>Rock In Rio</x:t>
        </x:is>
      </x:c>
      <x:c t="inlineStr" r="CF10"/>
    </x:row>
    <x:row r="11">
      <x:c t="n" r="A11">
        <x:v>1946504293</x:v>
      </x:c>
      <x:c t="inlineStr" r="B11">
        <x:is>
          <x:t>01.09.2026</x:t>
        </x:is>
      </x:c>
      <x:c t="inlineStr" r="C11">
        <x:is>
          <x:t>21:51</x:t>
        </x:is>
      </x:c>
      <x:c t="inlineStr" r="D11">
        <x:is>
          <x:t>01.09.2026 22:00</x:t>
        </x:is>
      </x:c>
      <x:c t="inlineStr" r="E11">
        <x:is>
          <x:t/>
        </x:is>
      </x:c>
      <x:c t="str" r="F11">
        <x:v>ME AJUDEM
quem puder curtir meu comentário, meu @ é scarpatti.hochleitner 
EU PRECISO VER A @carolbiazin NO ROCK IN RIO, ME AJUDEM
https://www.instagram.com/p/Dcv1-E7xpNt/?carousel_share_child_media_id=3976634358361920365_1196746374&amp;comment_id=17980202418117036
Ipiranga (@ipiranga) • Instagram photo</x:v>
      </x:c>
      <x:c t="inlineStr" r="G11">
        <x:is>
          <x:t/>
        </x:is>
      </x:c>
      <x:c t="inlineStr" r="H11"/>
      <x:c t="inlineStr" r="I11">
        <x:is>
          <x:t>Repostagem estendida</x:t>
        </x:is>
      </x:c>
      <x:c t="inlineStr" r="J11">
        <x:is>
          <x:t>Imagem,Link,Texto</x:t>
        </x:is>
      </x:c>
      <x:c t="inlineStr" r="K11"/>
      <x:c r="L11">
        <x:f>HYPERLINK("https://x.com/_myfingerprints/status/2094951291390734645")</x:f>
      </x:c>
      <x:c t="inlineStr" r="M11">
        <x:is>
          <x:t>Negativo</x:t>
        </x:is>
      </x:c>
      <x:c t="inlineStr" r="N11">
        <x:is>
          <x:t>- ｂｒｅｎｏ -</x:t>
        </x:is>
      </x:c>
      <x:c t="inlineStr" r="O11">
        <x:is>
          <x:t>_myfingerprints</x:t>
        </x:is>
      </x:c>
      <x:c r="P11">
        <x:f>HYPERLINK("http://x.com/_myfingerprints")</x:f>
      </x:c>
      <x:c t="n" r="Q11">
        <x:v>1367</x:v>
      </x:c>
      <x:c t="inlineStr" r="R11">
        <x:is>
          <x:t>Homem</x:t>
        </x:is>
      </x:c>
      <x:c t="inlineStr" r="S11"/>
      <x:c t="inlineStr" r="T11">
        <x:is>
          <x:t>x.com</x:t>
        </x:is>
      </x:c>
      <x:c t="inlineStr" r="U11"/>
      <x:c t="inlineStr" r="V11"/>
      <x:c t="inlineStr" r="W11"/>
      <x:c t="inlineStr" r="X11"/>
      <x:c t="inlineStr" r="Y11">
        <x:is>
          <x:t>Rede social</x:t>
        </x:is>
      </x:c>
      <x:c t="inlineStr" r="Z11">
        <x:is>
          <x:t>Português</x:t>
        </x:is>
      </x:c>
      <x:c t="inlineStr" r="AA11">
        <x:is>
          <x:t>Brasil</x:t>
        </x:is>
      </x:c>
      <x:c t="inlineStr" r="AB11"/>
      <x:c t="inlineStr" r="AC11"/>
      <x:c t="inlineStr" r="AD11"/>
      <x:c t="n" r="AE11">
        <x:v>7</x:v>
      </x:c>
      <x:c t="n" r="AF11">
        <x:v>8</x:v>
      </x:c>
      <x:c t="n" r="AG11">
        <x:v>7</x:v>
      </x:c>
      <x:c t="inlineStr" r="AH11"/>
      <x:c t="inlineStr" r="AI11"/>
      <x:c t="inlineStr" r="AJ11"/>
      <x:c t="inlineStr" r="AK11"/>
      <x:c t="inlineStr" r="AL11"/>
      <x:c t="inlineStr" r="AM11"/>
      <x:c t="inlineStr" r="AN11"/>
      <x:c t="n" r="AO11">
        <x:v>1</x:v>
      </x:c>
      <x:c t="inlineStr" r="AP11"/>
      <x:c t="n" r="AQ11">
        <x:v>302</x:v>
      </x:c>
      <x:c t="inlineStr" r="AR11"/>
      <x:c t="inlineStr" r="AS11"/>
      <x:c t="inlineStr" r="AT11"/>
      <x:c t="n" r="AU11">
        <x:v>1367</x:v>
      </x:c>
      <x:c t="inlineStr" r="AV11"/>
      <x:c t="inlineStr" r="AW11">
        <x:is>
          <x:t/>
        </x:is>
      </x:c>
      <x:c t="inlineStr" r="AX11">
        <x:is>
          <x:t>text</x:t>
        </x:is>
      </x:c>
      <x:c t="inlineStr" r="AY11">
        <x:is>
          <x:t/>
        </x:is>
      </x:c>
      <x:c t="inlineStr" r="AZ11">
        <x:is>
          <x:t/>
        </x:is>
      </x:c>
      <x:c t="inlineStr" r="BA11">
        <x:is>
          <x:t/>
        </x:is>
      </x:c>
      <x:c t="inlineStr" r="BB11">
        <x:is>
          <x:t>ILLUSTRATION</x:t>
        </x:is>
      </x:c>
      <x:c t="inlineStr" r="BC11"/>
      <x:c r="BD11">
        <x:f>HYPERLINK("https://pbs.twimg.com/media/HRLDGCRXIAA25HV.jpg")</x:f>
      </x:c>
      <x:c t="inlineStr" r="BE11">
        <x:is>
          <x:t/>
        </x:is>
      </x:c>
      <x:c t="inlineStr" r="BF11">
        <x:is>
          <x:t>Não</x:t>
        </x:is>
      </x:c>
      <x:c t="inlineStr" r="BG11"/>
      <x:c t="inlineStr" r="BH11">
        <x:is>
          <x:t/>
        </x:is>
      </x:c>
      <x:c t="inlineStr" r="BI11">
        <x:is>
          <x:t>WOM</x:t>
        </x:is>
      </x:c>
      <x:c t="inlineStr" r="BJ11"/>
      <x:c t="inlineStr" r="BK11">
        <x:is>
          <x:t>Ipiranga,Rock In Rio</x:t>
        </x:is>
      </x:c>
      <x:c t="inlineStr" r="BL11"/>
      <x:c t="inlineStr" r="BM11"/>
      <x:c t="inlineStr" r="BN11"/>
      <x:c t="inlineStr" r="BO11"/>
      <x:c t="inlineStr" r="BP11"/>
      <x:c t="inlineStr" r="BQ11"/>
      <x:c t="inlineStr" r="BR11"/>
      <x:c t="inlineStr" r="BS11"/>
      <x:c t="inlineStr" r="BT11"/>
      <x:c t="inlineStr" r="BU11"/>
      <x:c t="inlineStr" r="BV11"/>
      <x:c t="inlineStr" r="BW11"/>
      <x:c t="inlineStr" r="BX11"/>
      <x:c t="inlineStr" r="BY11"/>
      <x:c t="inlineStr" r="BZ11">
        <x:is>
          <x:t>Ipiranga</x:t>
        </x:is>
      </x:c>
      <x:c t="inlineStr" r="CA11"/>
      <x:c t="inlineStr" r="CB11"/>
      <x:c t="inlineStr" r="CC11"/>
      <x:c t="inlineStr" r="CD11"/>
      <x:c t="inlineStr" r="CE11">
        <x:is>
          <x:t>Rock In Rio</x:t>
        </x:is>
      </x:c>
      <x:c t="inlineStr" r="CF11"/>
    </x:row>
    <x:row r="12">
      <x:c t="n" r="A12">
        <x:v>2476653151</x:v>
      </x:c>
      <x:c t="inlineStr" r="B12">
        <x:is>
          <x:t>01.09.2026</x:t>
        </x:is>
      </x:c>
      <x:c t="inlineStr" r="C12">
        <x:is>
          <x:t>21:17</x:t>
        </x:is>
      </x:c>
      <x:c t="inlineStr" r="D12">
        <x:is>
          <x:t>01.09.2026 22:00</x:t>
        </x:is>
      </x:c>
      <x:c t="inlineStr" r="E12">
        <x:is>
          <x:t/>
        </x:is>
      </x:c>
      <x:c t="str" r="F12">
        <x:v>quem puder curtir meu comentário, meu @ é scarpatti.hochleitner 
EU PRECISO VER A @carolbiazin NO ROCK IN RIO, ME AJUDEM
https://www.instagram.com/p/Dcv1-E7xpNt/?carousel_share_child_media_id=3976634358361920365_1196746374&amp;comment_id=17980202418117036
Ipiranga (@ipiranga) • Instagram photo</x:v>
      </x:c>
      <x:c t="inlineStr" r="G12">
        <x:is>
          <x:t/>
        </x:is>
      </x:c>
      <x:c t="inlineStr" r="H12"/>
      <x:c t="inlineStr" r="I12">
        <x:is>
          <x:t>Postar</x:t>
        </x:is>
      </x:c>
      <x:c t="inlineStr" r="J12">
        <x:is>
          <x:t>Link,Texto</x:t>
        </x:is>
      </x:c>
      <x:c t="inlineStr" r="K12"/>
      <x:c r="L12">
        <x:f>HYPERLINK("https://x.com/_myfingerprints/status/2094942807488127256")</x:f>
      </x:c>
      <x:c t="inlineStr" r="M12">
        <x:is>
          <x:t>Negativo</x:t>
        </x:is>
      </x:c>
      <x:c t="inlineStr" r="N12">
        <x:is>
          <x:t>- ｂｒｅｎｏ -</x:t>
        </x:is>
      </x:c>
      <x:c t="inlineStr" r="O12">
        <x:is>
          <x:t>_myfingerprints</x:t>
        </x:is>
      </x:c>
      <x:c r="P12">
        <x:f>HYPERLINK("http://x.com/_myfingerprints")</x:f>
      </x:c>
      <x:c t="n" r="Q12">
        <x:v>1367</x:v>
      </x:c>
      <x:c t="inlineStr" r="R12">
        <x:is>
          <x:t>Homem</x:t>
        </x:is>
      </x:c>
      <x:c t="inlineStr" r="S12"/>
      <x:c t="inlineStr" r="T12">
        <x:is>
          <x:t>x.com</x:t>
        </x:is>
      </x:c>
      <x:c t="inlineStr" r="U12"/>
      <x:c t="inlineStr" r="V12"/>
      <x:c t="inlineStr" r="W12"/>
      <x:c t="inlineStr" r="X12"/>
      <x:c t="inlineStr" r="Y12">
        <x:is>
          <x:t>Rede social</x:t>
        </x:is>
      </x:c>
      <x:c t="inlineStr" r="Z12">
        <x:is>
          <x:t>Português</x:t>
        </x:is>
      </x:c>
      <x:c t="inlineStr" r="AA12">
        <x:is>
          <x:t>Brasil</x:t>
        </x:is>
      </x:c>
      <x:c t="inlineStr" r="AB12"/>
      <x:c t="inlineStr" r="AC12"/>
      <x:c t="inlineStr" r="AD12"/>
      <x:c t="n" r="AE12">
        <x:v>9</x:v>
      </x:c>
      <x:c t="n" r="AF12">
        <x:v>15</x:v>
      </x:c>
      <x:c t="n" r="AG12">
        <x:v>9</x:v>
      </x:c>
      <x:c t="inlineStr" r="AH12"/>
      <x:c t="inlineStr" r="AI12"/>
      <x:c t="inlineStr" r="AJ12"/>
      <x:c t="inlineStr" r="AK12"/>
      <x:c t="inlineStr" r="AL12"/>
      <x:c t="inlineStr" r="AM12"/>
      <x:c t="inlineStr" r="AN12"/>
      <x:c t="n" r="AO12">
        <x:v>1</x:v>
      </x:c>
      <x:c t="n" r="AP12">
        <x:v>5</x:v>
      </x:c>
      <x:c t="n" r="AQ12">
        <x:v>555</x:v>
      </x:c>
      <x:c t="inlineStr" r="AR12"/>
      <x:c t="inlineStr" r="AS12"/>
      <x:c t="inlineStr" r="AT12"/>
      <x:c t="n" r="AU12">
        <x:v>1367</x:v>
      </x:c>
      <x:c t="inlineStr" r="AV12"/>
      <x:c t="inlineStr" r="AW12">
        <x:is>
          <x:t>Ipimax</x:t>
        </x:is>
      </x:c>
      <x:c t="inlineStr" r="AX12">
        <x:is>
          <x:t>text,poster</x:t>
        </x:is>
      </x:c>
      <x:c t="inlineStr" r="AY12">
        <x:is>
          <x:t/>
        </x:is>
      </x:c>
      <x:c t="inlineStr" r="AZ12">
        <x:is>
          <x:t/>
        </x:is>
      </x:c>
      <x:c t="inlineStr" r="BA12">
        <x:is>
          <x:t/>
        </x:is>
      </x:c>
      <x:c t="inlineStr" r="BB12">
        <x:is>
          <x:t>ILLUSTRATION</x:t>
        </x:is>
      </x:c>
      <x:c t="inlineStr" r="BC12">
        <x:is>
          <x:t>advertising</x:t>
        </x:is>
      </x:c>
      <x:c r="BD12">
        <x:f>HYPERLINK("https://pbs.twimg.com/card_img/2094942604005711874/Ef0q-0tl?format=jpg&amp;name=orig")</x:f>
      </x:c>
      <x:c t="inlineStr" r="BE12">
        <x:is>
          <x:t/>
        </x:is>
      </x:c>
      <x:c t="inlineStr" r="BF12">
        <x:is>
          <x:t>Não</x:t>
        </x:is>
      </x:c>
      <x:c t="inlineStr" r="BG12"/>
      <x:c t="inlineStr" r="BH12">
        <x:is>
          <x:t/>
        </x:is>
      </x:c>
      <x:c t="inlineStr" r="BI12">
        <x:is>
          <x:t>WOM</x:t>
        </x:is>
      </x:c>
      <x:c t="inlineStr" r="BJ12"/>
      <x:c t="inlineStr" r="BK12">
        <x:is>
          <x:t>Ipiranga,Rock In Rio</x:t>
        </x:is>
      </x:c>
      <x:c t="inlineStr" r="BL12"/>
      <x:c t="inlineStr" r="BM12"/>
      <x:c t="inlineStr" r="BN12"/>
      <x:c t="inlineStr" r="BO12"/>
      <x:c t="inlineStr" r="BP12"/>
      <x:c t="inlineStr" r="BQ12"/>
      <x:c t="inlineStr" r="BR12"/>
      <x:c t="inlineStr" r="BS12"/>
      <x:c t="inlineStr" r="BT12"/>
      <x:c t="inlineStr" r="BU12"/>
      <x:c t="inlineStr" r="BV12"/>
      <x:c t="inlineStr" r="BW12"/>
      <x:c t="inlineStr" r="BX12"/>
      <x:c t="inlineStr" r="BY12"/>
      <x:c t="inlineStr" r="BZ12">
        <x:is>
          <x:t>Ipiranga</x:t>
        </x:is>
      </x:c>
      <x:c t="inlineStr" r="CA12"/>
      <x:c t="inlineStr" r="CB12"/>
      <x:c t="inlineStr" r="CC12"/>
      <x:c t="inlineStr" r="CD12"/>
      <x:c t="inlineStr" r="CE12">
        <x:is>
          <x:t>Rock In Rio</x:t>
        </x:is>
      </x:c>
      <x:c t="inlineStr" r="CF12"/>
    </x:row>
    <x:row r="13">
      <x:c t="n" r="A13">
        <x:v>77821058</x:v>
      </x:c>
      <x:c t="inlineStr" r="B13">
        <x:is>
          <x:t>01.09.2026</x:t>
        </x:is>
      </x:c>
      <x:c t="inlineStr" r="C13">
        <x:is>
          <x:t>18:19</x:t>
        </x:is>
      </x:c>
      <x:c t="inlineStr" r="D13">
        <x:is>
          <x:t>01.09.2026 18:23</x:t>
        </x:is>
      </x:c>
      <x:c t="inlineStr" r="E13">
        <x:is>
          <x:t/>
        </x:is>
      </x:c>
      <x:c t="str" r="F13">
        <x:v>DIA 3 PEDINDO PARA AS MARCAS NOS LEVAREM PARA ASSISTIR AO SHOW DA MARINA SENA NO ROCK IN RIO 
@ipiranga, a gente já passou pela Blitz Ipiranga para abastecer… agora só falta vocês abastecerem a gente com ingressos para viver o show inesquecível que a Marina Sena vai fazer no #RockInRio. 👀
Afinal, Ipiranga + Marina Sena PRESS + Semana Aditivada = uma combinação que já vem com combustível de sobra, né? 
MARQUEM A @ipiranga NOS COMENTÁRIOS!</x:v>
      </x:c>
      <x:c t="inlineStr" r="G13">
        <x:is>
          <x:t/>
        </x:is>
      </x:c>
      <x:c t="inlineStr" r="H13"/>
      <x:c t="inlineStr" r="I13">
        <x:is>
          <x:t>Postar</x:t>
        </x:is>
      </x:c>
      <x:c t="inlineStr" r="J13">
        <x:is>
          <x:t>Imagem,Texto</x:t>
        </x:is>
      </x:c>
      <x:c t="inlineStr" r="K13"/>
      <x:c r="L13">
        <x:f>HYPERLINK("https://x.com/marinasenapress/status/2094897937344074164")</x:f>
      </x:c>
      <x:c t="inlineStr" r="M13">
        <x:is>
          <x:t>Negativo</x:t>
        </x:is>
      </x:c>
      <x:c t="inlineStr" r="N13">
        <x:is>
          <x:t>Marina Sena PRESS</x:t>
        </x:is>
      </x:c>
      <x:c t="inlineStr" r="O13">
        <x:is>
          <x:t>marinasenapress</x:t>
        </x:is>
      </x:c>
      <x:c r="P13">
        <x:f>HYPERLINK("http://x.com/marinasenapress")</x:f>
      </x:c>
      <x:c t="n" r="Q13">
        <x:v>2519</x:v>
      </x:c>
      <x:c t="inlineStr" r="R13">
        <x:is>
          <x:t>Mulher</x:t>
        </x:is>
      </x:c>
      <x:c t="inlineStr" r="S13"/>
      <x:c t="inlineStr" r="T13">
        <x:is>
          <x:t>x.com</x:t>
        </x:is>
      </x:c>
      <x:c t="inlineStr" r="U13"/>
      <x:c t="inlineStr" r="V13"/>
      <x:c t="inlineStr" r="W13"/>
      <x:c t="inlineStr" r="X13"/>
      <x:c t="inlineStr" r="Y13">
        <x:is>
          <x:t>Rede social</x:t>
        </x:is>
      </x:c>
      <x:c t="inlineStr" r="Z13">
        <x:is>
          <x:t>Português</x:t>
        </x:is>
      </x:c>
      <x:c t="inlineStr" r="AA13">
        <x:is>
          <x:t>Brasil</x:t>
        </x:is>
      </x:c>
      <x:c t="inlineStr" r="AB13"/>
      <x:c t="inlineStr" r="AC13"/>
      <x:c t="inlineStr" r="AD13"/>
      <x:c t="n" r="AE13">
        <x:v>35</x:v>
      </x:c>
      <x:c t="n" r="AF13">
        <x:v>57</x:v>
      </x:c>
      <x:c t="n" r="AG13">
        <x:v>35</x:v>
      </x:c>
      <x:c t="inlineStr" r="AH13"/>
      <x:c t="inlineStr" r="AI13"/>
      <x:c t="inlineStr" r="AJ13"/>
      <x:c t="inlineStr" r="AK13"/>
      <x:c t="inlineStr" r="AL13"/>
      <x:c t="inlineStr" r="AM13"/>
      <x:c t="inlineStr" r="AN13"/>
      <x:c t="n" r="AO13">
        <x:v>18</x:v>
      </x:c>
      <x:c t="n" r="AP13">
        <x:v>4</x:v>
      </x:c>
      <x:c t="n" r="AQ13">
        <x:v>928</x:v>
      </x:c>
      <x:c t="inlineStr" r="AR13"/>
      <x:c t="inlineStr" r="AS13"/>
      <x:c t="inlineStr" r="AT13"/>
      <x:c t="n" r="AU13">
        <x:v>2519</x:v>
      </x:c>
      <x:c t="inlineStr" r="AV13"/>
      <x:c t="inlineStr" r="AW13">
        <x:is>
          <x:t/>
        </x:is>
      </x:c>
      <x:c t="inlineStr" r="AX13">
        <x:is>
          <x:t>vehicle,car,text,building,signage,commercial building</x:t>
        </x:is>
      </x:c>
      <x:c t="inlineStr" r="AY13">
        <x:is>
          <x:t>outdoor</x:t>
        </x:is>
      </x:c>
      <x:c t="inlineStr" r="AZ13">
        <x:is>
          <x:t>man,woman</x:t>
        </x:is>
      </x:c>
      <x:c t="inlineStr" r="BA13">
        <x:is>
          <x:t/>
        </x:is>
      </x:c>
      <x:c t="inlineStr" r="BB13">
        <x:is>
          <x:t>PHOTO</x:t>
        </x:is>
      </x:c>
      <x:c t="inlineStr" r="BC13"/>
      <x:c r="BD13">
        <x:f>HYPERLINK("https://pbs.twimg.com/media/HRKSkR5XAAAClMs.jpg")</x:f>
      </x:c>
      <x:c t="inlineStr" r="BE13">
        <x:is>
          <x:t/>
        </x:is>
      </x:c>
      <x:c t="inlineStr" r="BF13">
        <x:is>
          <x:t>Não</x:t>
        </x:is>
      </x:c>
      <x:c t="inlineStr" r="BG13"/>
      <x:c t="inlineStr" r="BH13">
        <x:is>
          <x:t>Acontecimento</x:t>
        </x:is>
      </x:c>
      <x:c t="inlineStr" r="BI13">
        <x:is>
          <x:t>Promoção</x:t>
        </x:is>
      </x:c>
      <x:c t="inlineStr" r="BJ13"/>
      <x:c t="inlineStr" r="BK13">
        <x:is>
          <x:t>Ipiranga,Rock In Rio</x:t>
        </x:is>
      </x:c>
      <x:c t="inlineStr" r="BL13"/>
      <x:c t="inlineStr" r="BM13"/>
      <x:c t="inlineStr" r="BN13"/>
      <x:c t="inlineStr" r="BO13"/>
      <x:c t="inlineStr" r="BP13"/>
      <x:c t="inlineStr" r="BQ13"/>
      <x:c t="inlineStr" r="BR13"/>
      <x:c t="inlineStr" r="BS13"/>
      <x:c t="inlineStr" r="BT13"/>
      <x:c t="inlineStr" r="BU13"/>
      <x:c t="inlineStr" r="BV13"/>
      <x:c t="inlineStr" r="BW13"/>
      <x:c t="inlineStr" r="BX13"/>
      <x:c t="inlineStr" r="BY13"/>
      <x:c t="inlineStr" r="BZ13">
        <x:is>
          <x:t>Ipiranga</x:t>
        </x:is>
      </x:c>
      <x:c t="inlineStr" r="CA13"/>
      <x:c t="inlineStr" r="CB13"/>
      <x:c t="inlineStr" r="CC13"/>
      <x:c t="inlineStr" r="CD13"/>
      <x:c t="inlineStr" r="CE13">
        <x:is>
          <x:t>Rock In Rio</x:t>
        </x:is>
      </x:c>
      <x:c t="inlineStr" r="CF13"/>
    </x:row>
    <x:row r="14">
      <x:c t="n" r="A14">
        <x:v>1591556172</x:v>
      </x:c>
      <x:c t="inlineStr" r="B14">
        <x:is>
          <x:t>01.09.2026</x:t>
        </x:is>
      </x:c>
      <x:c t="inlineStr" r="C14">
        <x:is>
          <x:t>18:07</x:t>
        </x:is>
      </x:c>
      <x:c t="inlineStr" r="D14">
        <x:is>
          <x:t>02.09.2026 06:49</x:t>
        </x:is>
      </x:c>
      <x:c t="inlineStr" r="E14">
        <x:is>
          <x:t/>
        </x:is>
      </x:c>
      <x:c t="str" r="F14">
        <x:v>Junto aos seus patrocinadores, apoiadores e parceiros, o Rock in Rio 2026, que acontece nos dias 4, 5, 6, 7, 11, 12 e 13 de setembro, terá mais de 100 ativações entre estandes e experiências temáticas. Confira abaixo:
Em comemoração aos 25 anos de sua parceria com o Rock in Rio, o Itaú Unibancoú apresenta o Pavilhão Itaú, uma estrutura de 1.000 metros quadrados distribuída em três andares. O térreo, a Praça Itaú, servirá como uma área de convivência para o público geral, oferecendo locais para descanso, recarga de celulares e espaços para fotos. O segundo andar, Piso Pista, também é aberto ao público e conta com palco, pista de dança e arquibancada para shows e DJs.
Na edição em que celebra 15 anos de parceria com o festival, além de sua tradicional megaoperação com de mais de 700 mil litros de chope, a The HEINEKEN Company promoverá a ativação The Clinker, que pretende funcionar como um match entre fãs.
A The Coca-Cola Company terá um espaço com programação musical própria, com DJs residentes e apresentações de artistas como AJULIACOSTA, Bonde do Tigrão, Japa NK e Bonde das Maravilhas, entre outros. A marca também levará ao festival um sistema de fila digital para organizar o acesso às experiências do espaço, além de bares integrados à ativação.
Pela primeira vez, a Seara terá um palco em frente ao Palco Mundo do Rock in Rio e uma área exclusiva de Seara Gourmet no setor VIP. A empresa também terá lojas em outros pontos do evento e será responsável pela estreia do churrasco no cardápio oficial do festival. O portfólio reunirá ainda produtos das linhas Air Fryer, Protein e Incrível, escolhidos para alcançar diferentes perfis e hábitos de consumo.
Próximo ao Palco Mundo, o Espaço Ipiranga terá corredor instagramável, fila em ambiente climatizado e uma experiência com Glambot, na qual um braço robótico grava vídeos dos visitantes. Os conteúdos poderão ser baixados para as redes sociais e também exibidos na fachada de LED do espaço.
Continue lendo no site: https://lnkd.in/gaeTVvaw
#rockinrio #marcas #ativações #festival
Veja as ativações de marcas e brindes do Rock in Rio 2026</x:v>
      </x:c>
      <x:c t="inlineStr" r="G14">
        <x:is>
          <x:t/>
        </x:is>
      </x:c>
      <x:c t="inlineStr" r="H14"/>
      <x:c t="inlineStr" r="I14">
        <x:is>
          <x:t>Postar</x:t>
        </x:is>
      </x:c>
      <x:c t="inlineStr" r="J14">
        <x:is>
          <x:t>Texto</x:t>
        </x:is>
      </x:c>
      <x:c t="inlineStr" r="K14"/>
      <x:c r="L14">
        <x:f>HYPERLINK("https://www.linkedin.com/feed/update/urn:li:ugcPost:7500660664181420032")</x:f>
      </x:c>
      <x:c t="inlineStr" r="M14">
        <x:is>
          <x:t>Negativo</x:t>
        </x:is>
      </x:c>
      <x:c t="inlineStr" r="N14"/>
      <x:c t="inlineStr" r="O14"/>
      <x:c t="inlineStr" r="P14"/>
      <x:c t="inlineStr" r="Q14"/>
      <x:c t="inlineStr" r="R14"/>
      <x:c t="inlineStr" r="S14"/>
      <x:c t="inlineStr" r="T14">
        <x:is>
          <x:t>linkedin.com</x:t>
        </x:is>
      </x:c>
      <x:c t="inlineStr" r="U14"/>
      <x:c t="inlineStr" r="V14"/>
      <x:c t="inlineStr" r="W14"/>
      <x:c t="inlineStr" r="X14"/>
      <x:c t="inlineStr" r="Y14">
        <x:is>
          <x:t>Rede social</x:t>
        </x:is>
      </x:c>
      <x:c t="inlineStr" r="Z14">
        <x:is>
          <x:t>Português</x:t>
        </x:is>
      </x:c>
      <x:c t="inlineStr" r="AA14"/>
      <x:c t="inlineStr" r="AB14"/>
      <x:c t="inlineStr" r="AC14"/>
      <x:c t="inlineStr" r="AD14"/>
      <x:c t="n" r="AE14">
        <x:v>33</x:v>
      </x:c>
      <x:c t="n" r="AF14">
        <x:v>33</x:v>
      </x:c>
      <x:c t="n" r="AG14">
        <x:v>33</x:v>
      </x:c>
      <x:c t="inlineStr" r="AH14"/>
      <x:c t="inlineStr" r="AI14"/>
      <x:c t="inlineStr" r="AJ14"/>
      <x:c t="inlineStr" r="AK14"/>
      <x:c t="inlineStr" r="AL14"/>
      <x:c t="inlineStr" r="AM14"/>
      <x:c t="inlineStr" r="AN14"/>
      <x:c t="n" r="AO14">
        <x:v>0</x:v>
      </x:c>
      <x:c t="inlineStr" r="AP14"/>
      <x:c t="inlineStr" r="AQ14"/>
      <x:c t="inlineStr" r="AR14"/>
      <x:c t="inlineStr" r="AS14"/>
      <x:c t="inlineStr" r="AT14"/>
      <x:c t="inlineStr" r="AU14"/>
      <x:c t="inlineStr" r="AV14"/>
      <x:c t="inlineStr" r="AW14"/>
      <x:c t="inlineStr" r="AX14"/>
      <x:c t="inlineStr" r="AY14"/>
      <x:c t="inlineStr" r="AZ14"/>
      <x:c t="inlineStr" r="BA14"/>
      <x:c t="inlineStr" r="BB14"/>
      <x:c t="inlineStr" r="BC14"/>
      <x:c t="inlineStr" r="BD14"/>
      <x:c t="inlineStr" r="BE14">
        <x:is>
          <x:t/>
        </x:is>
      </x:c>
      <x:c t="inlineStr" r="BF14">
        <x:is>
          <x:t>Não</x:t>
        </x:is>
      </x:c>
      <x:c t="inlineStr" r="BG14"/>
      <x:c t="inlineStr" r="BH14">
        <x:is>
          <x:t>Acontecimento</x:t>
        </x:is>
      </x:c>
      <x:c t="inlineStr" r="BI14">
        <x:is>
          <x:t/>
        </x:is>
      </x:c>
      <x:c t="inlineStr" r="BJ14"/>
      <x:c t="inlineStr" r="BK14">
        <x:is>
          <x:t>Ipiranga,Rock In Rio</x:t>
        </x:is>
      </x:c>
      <x:c t="inlineStr" r="BL14"/>
      <x:c t="inlineStr" r="BM14"/>
      <x:c t="inlineStr" r="BN14"/>
      <x:c t="inlineStr" r="BO14"/>
      <x:c t="inlineStr" r="BP14"/>
      <x:c t="inlineStr" r="BQ14"/>
      <x:c t="inlineStr" r="BR14"/>
      <x:c t="inlineStr" r="BS14"/>
      <x:c t="inlineStr" r="BT14"/>
      <x:c t="inlineStr" r="BU14"/>
      <x:c t="inlineStr" r="BV14"/>
      <x:c t="inlineStr" r="BW14"/>
      <x:c t="inlineStr" r="BX14"/>
      <x:c t="inlineStr" r="BY14"/>
      <x:c t="inlineStr" r="BZ14">
        <x:is>
          <x:t>Ipiranga</x:t>
        </x:is>
      </x:c>
      <x:c t="inlineStr" r="CA14"/>
      <x:c t="inlineStr" r="CB14"/>
      <x:c t="inlineStr" r="CC14"/>
      <x:c t="inlineStr" r="CD14"/>
      <x:c t="inlineStr" r="CE14">
        <x:is>
          <x:t>Rock In Rio</x:t>
        </x:is>
      </x:c>
      <x:c t="inlineStr" r="CF14"/>
    </x:row>
    <x:row r="15">
      <x:c t="n" r="A15">
        <x:v>626794613</x:v>
      </x:c>
      <x:c t="inlineStr" r="B15">
        <x:is>
          <x:t>01.09.2026</x:t>
        </x:is>
      </x:c>
      <x:c t="inlineStr" r="C15">
        <x:is>
          <x:t>18:02</x:t>
        </x:is>
      </x:c>
      <x:c t="inlineStr" r="D15">
        <x:is>
          <x:t>01.09.2026 19:20</x:t>
        </x:is>
      </x:c>
      <x:c t="inlineStr" r="E15">
        <x:is>
          <x:t/>
        </x:is>
      </x:c>
      <x:c t="str" r="F15">
        <x:v>Junto aos seus patrocinadores, apoiadores e parceiros, o Rock in Rio (rockinrio) 2026, que acontece nos dias 4, 5, 6, 7, 11, 12 e 13 de setembro, terá mais de 100 ativações entre estandes e experiências temáticas. Confira abaixo:
Em comemoração aos 25 anos de sua parceria com o Rock in Rio, o Itaú (itau) apresenta o Pavilhão Itaú, uma estrutura de 1.000 metros quadrados distribuída em três andares. O térreo, a Praça Itaú, servirá como uma área de convivência para o público geral, oferecendo locais para descanso, recarga de celulares e espaços para fotos. O segundo andar, Piso Pista, também é aberto ao público e conta com palco, pista de dança e arquibancada para shows e DJs.
Na edição em que celebra 15 anos de parceria com o festival, além de sua tradicional megaoperação com de mais de 700 mil litros de chope, a Heineken (heinekenbr) promoverá a ativação The Clinker, que pretende funcionar como um match entre fãs.
A Coca-Cola (cocacola) terá um espaço com programação musical própria, com DJs residentes e apresentações de artistas como AJULIACOSTA, Bonde do Tigrão, Japa NK e Bonde das Maravilhas, entre outros. A marca também levará ao festival um sistema de fila digital para organizar o acesso às experiências do espaço, além de bares integrados à ativação.
Pela primeira vez, a Seara (searabrasil) terá um palco em frente ao Palco Mundo do Rock in Rio e uma área exclusiva de Seara Gourmet no setor VIP. A empresa também terá lojas em outros pontos do evento e será responsável pela estreia do churrasco no cardápio oficial do festival. O portfólio reunirá ainda produtos das linhas Air Fryer, Protein e Incrível, escolhidos para alcançar diferentes perfis e hábitos de consumo.
Próximo ao Palco Mundo, o Espaço Ipiranga (ipiranga) terá corredor instagramável, fila em ambiente climatizado e uma experiência com Glambot, na qual um braço robótico grava vídeos dos visitantes. Os conteúdos poderão ser baixados para as redes sociais e também exibidos na fachada de LED do espaço.
Continue lendo no site (link na bio meioemensagem)
#rockinrio #marcas #ativações #festival</x:v>
      </x:c>
      <x:c t="inlineStr" r="G15">
        <x:is>
          <x:t/>
        </x:is>
      </x:c>
      <x:c t="inlineStr" r="H15"/>
      <x:c t="inlineStr" r="I15">
        <x:is>
          <x:t>Postar</x:t>
        </x:is>
      </x:c>
      <x:c t="inlineStr" r="J15">
        <x:is>
          <x:t>Texto,Álbum</x:t>
        </x:is>
      </x:c>
      <x:c t="inlineStr" r="K15"/>
      <x:c r="L15">
        <x:f>HYPERLINK("https://www.instagram.com/p/DcwlKuvD2ag/")</x:f>
      </x:c>
      <x:c t="inlineStr" r="M15">
        <x:is>
          <x:t>Negativo</x:t>
        </x:is>
      </x:c>
      <x:c t="inlineStr" r="N15">
        <x:is>
          <x:t>Meio &amp; Mensagem</x:t>
        </x:is>
      </x:c>
      <x:c t="inlineStr" r="O15">
        <x:is>
          <x:t>meioemensagem</x:t>
        </x:is>
      </x:c>
      <x:c r="P15">
        <x:f>HYPERLINK("https://www.instagram.com/meioemensagem/")</x:f>
      </x:c>
      <x:c t="n" r="Q15">
        <x:v>376052</x:v>
      </x:c>
      <x:c t="inlineStr" r="R15"/>
      <x:c t="inlineStr" r="S15"/>
      <x:c t="inlineStr" r="T15">
        <x:is>
          <x:t>instagram.com</x:t>
        </x:is>
      </x:c>
      <x:c t="inlineStr" r="U15">
        <x:is>
          <x:t>Meio &amp; Mensagem</x:t>
        </x:is>
      </x:c>
      <x:c r="V15">
        <x:f>HYPERLINK("https://www.instagram.com/meioemensagem/")</x:f>
      </x:c>
      <x:c t="n" r="W15">
        <x:v>376052</x:v>
      </x:c>
      <x:c t="inlineStr" r="X15"/>
      <x:c t="inlineStr" r="Y15">
        <x:is>
          <x:t>Rede social</x:t>
        </x:is>
      </x:c>
      <x:c t="inlineStr" r="Z15">
        <x:is>
          <x:t>Português</x:t>
        </x:is>
      </x:c>
      <x:c t="inlineStr" r="AA15"/>
      <x:c t="inlineStr" r="AB15"/>
      <x:c t="inlineStr" r="AC15"/>
      <x:c t="inlineStr" r="AD15"/>
      <x:c t="n" r="AE15">
        <x:v>3468</x:v>
      </x:c>
      <x:c t="n" r="AF15">
        <x:v>7269</x:v>
      </x:c>
      <x:c t="n" r="AG15">
        <x:v>3468</x:v>
      </x:c>
      <x:c t="inlineStr" r="AH15"/>
      <x:c t="inlineStr" r="AI15"/>
      <x:c t="inlineStr" r="AJ15"/>
      <x:c t="inlineStr" r="AK15"/>
      <x:c t="inlineStr" r="AL15"/>
      <x:c t="inlineStr" r="AM15"/>
      <x:c t="inlineStr" r="AN15"/>
      <x:c t="n" r="AO15">
        <x:v>70</x:v>
      </x:c>
      <x:c t="n" r="AP15">
        <x:v>3731</x:v>
      </x:c>
      <x:c t="inlineStr" r="AQ15"/>
      <x:c t="inlineStr" r="AR15"/>
      <x:c t="inlineStr" r="AS15"/>
      <x:c t="inlineStr" r="AT15"/>
      <x:c t="n" r="AU15">
        <x:v>376052</x:v>
      </x:c>
      <x:c t="inlineStr" r="AV15"/>
      <x:c t="inlineStr" r="AW15">
        <x:is>
          <x:t/>
        </x:is>
      </x:c>
      <x:c t="inlineStr" r="AX15">
        <x:is>
          <x:t>text,clothing,sunglasses,jeans,poster</x:t>
        </x:is>
      </x:c>
      <x:c t="inlineStr" r="AY15">
        <x:is>
          <x:t/>
        </x:is>
      </x:c>
      <x:c t="inlineStr" r="AZ15">
        <x:is>
          <x:t>man,woman</x:t>
        </x:is>
      </x:c>
      <x:c t="inlineStr" r="BA15">
        <x:is>
          <x:t/>
        </x:is>
      </x:c>
      <x:c t="inlineStr" r="BB15">
        <x:is>
          <x:t>ILLUSTRATION</x:t>
        </x:is>
      </x:c>
      <x:c t="inlineStr" r="BC15">
        <x:is>
          <x:t>advertising</x:t>
        </x:is>
      </x:c>
      <x:c t="inlineStr" r="BD15">
        <x:is>
          <x:t>https://scontent-ams2-1.cdninstagram.com/v/t51.82787-15/792046175_18617425576027780_4176596237943134440_n.webp?stp=dst-jpg_e35_tt6&amp;_nc_cat=101&amp;ccb=7-5&amp;_nc_sid=18de74&amp;efg=eyJlZmdfdGFnIjoiQ0FST1VTRUxfSVRFTS5iZXN0X2ltYWdlX3VybGdlbi5DMyJ9&amp;_nc_ohc=Y0r0UxTL0-AQ7kNvwGPJlQn&amp;_nc_oc=AdrcQmmF4sbIwCwGXEwPzrceR_epnuATtMqn4XsMHICiQhIhfkTCpVmBiWh-xowN2xo&amp;_nc_zt=23&amp;_nc_ht=scontent-ams2-1.cdninstagram.com&amp;edm=AL-3X8kEAAAA&amp;_nc_gid=r4qMCAWIMPjwbC_d2L80tQ&amp;oh=00_AQJ7YHGsWwGTrsKwMT853du5dandE-x1b423w6A_DF-D7Q&amp;oe=6A9D2AE7</x:t>
        </x:is>
      </x:c>
      <x:c t="inlineStr" r="BE15">
        <x:is>
          <x:t/>
        </x:is>
      </x:c>
      <x:c t="inlineStr" r="BF15">
        <x:is>
          <x:t>Não</x:t>
        </x:is>
      </x:c>
      <x:c t="inlineStr" r="BG15"/>
      <x:c t="inlineStr" r="BH15">
        <x:is>
          <x:t>Acontecimento</x:t>
        </x:is>
      </x:c>
      <x:c t="inlineStr" r="BI15">
        <x:is>
          <x:t>Promoção</x:t>
        </x:is>
      </x:c>
      <x:c t="inlineStr" r="BJ15"/>
      <x:c t="inlineStr" r="BK15">
        <x:is>
          <x:t>Ipiranga,Rock In Rio</x:t>
        </x:is>
      </x:c>
      <x:c t="inlineStr" r="BL15"/>
      <x:c t="inlineStr" r="BM15"/>
      <x:c t="inlineStr" r="BN15"/>
      <x:c t="inlineStr" r="BO15"/>
      <x:c t="inlineStr" r="BP15"/>
      <x:c t="inlineStr" r="BQ15"/>
      <x:c t="inlineStr" r="BR15"/>
      <x:c t="inlineStr" r="BS15"/>
      <x:c t="inlineStr" r="BT15"/>
      <x:c t="inlineStr" r="BU15"/>
      <x:c t="inlineStr" r="BV15"/>
      <x:c t="inlineStr" r="BW15"/>
      <x:c t="inlineStr" r="BX15"/>
      <x:c t="inlineStr" r="BY15"/>
      <x:c t="inlineStr" r="BZ15">
        <x:is>
          <x:t>Ipiranga</x:t>
        </x:is>
      </x:c>
      <x:c t="inlineStr" r="CA15"/>
      <x:c t="inlineStr" r="CB15"/>
      <x:c t="inlineStr" r="CC15"/>
      <x:c t="inlineStr" r="CD15"/>
      <x:c t="inlineStr" r="CE15">
        <x:is>
          <x:t>Rock In Rio</x:t>
        </x:is>
      </x:c>
      <x:c t="inlineStr" r="CF15"/>
    </x:row>
    <x:row r="16">
      <x:c t="n" r="A16">
        <x:v>568374077</x:v>
      </x:c>
      <x:c t="inlineStr" r="B16">
        <x:is>
          <x:t>01.09.2026</x:t>
        </x:is>
      </x:c>
      <x:c t="inlineStr" r="C16">
        <x:is>
          <x:t>15:47</x:t>
        </x:is>
      </x:c>
      <x:c t="inlineStr" r="D16">
        <x:is>
          <x:t>02.09.2026 02:42</x:t>
        </x:is>
      </x:c>
      <x:c t="inlineStr" r="E16">
        <x:is>
          <x:t/>
        </x:is>
      </x:c>
      <x:c t="str" r="F16">
        <x:v>Lá a parada é completa! 🤩
Quem abastece com Ipiranga Ipimax teve uma grata surpresa na manhã desta terça-feira: uma ação no Rio de Janeiro distribuiu 300 ingressos pro Rock in Rio, que começa na sexta-feira, na Cidade do Rock!
#IpirangaNoRockinRio #ParadaCompleta #BillNoRIR #Publi</x:v>
      </x:c>
      <x:c t="inlineStr" r="G16">
        <x:is>
          <x:t/>
        </x:is>
      </x:c>
      <x:c t="inlineStr" r="H16"/>
      <x:c t="inlineStr" r="I16">
        <x:is>
          <x:t>Postar</x:t>
        </x:is>
      </x:c>
      <x:c t="inlineStr" r="J16">
        <x:is>
          <x:t>Texto,Vídeo</x:t>
        </x:is>
      </x:c>
      <x:c t="inlineStr" r="K16">
        <x:is>
          <x:t>FacebookReels</x:t>
        </x:is>
      </x:c>
      <x:c r="L16">
        <x:f>HYPERLINK("https://www.facebook.com/1077847051614315")</x:f>
      </x:c>
      <x:c t="inlineStr" r="M16">
        <x:is>
          <x:t>Negativo</x:t>
        </x:is>
      </x:c>
      <x:c t="inlineStr" r="N16">
        <x:is>
          <x:t>Billboard Brasil</x:t>
        </x:is>
      </x:c>
      <x:c t="inlineStr" r="O16"/>
      <x:c r="P16">
        <x:f>HYPERLINK("https://www.facebook.com/176531412989")</x:f>
      </x:c>
      <x:c t="n" r="Q16">
        <x:v>872279</x:v>
      </x:c>
      <x:c t="inlineStr" r="R16">
        <x:is>
          <x:t>Comunidade</x:t>
        </x:is>
      </x:c>
      <x:c t="inlineStr" r="S16"/>
      <x:c t="inlineStr" r="T16">
        <x:is>
          <x:t>facebook.com</x:t>
        </x:is>
      </x:c>
      <x:c t="inlineStr" r="U16">
        <x:is>
          <x:t>Billboard Brasil</x:t>
        </x:is>
      </x:c>
      <x:c r="V16">
        <x:f>HYPERLINK("https://www.facebook.com/176531412989")</x:f>
      </x:c>
      <x:c t="n" r="W16">
        <x:v>872279</x:v>
      </x:c>
      <x:c t="inlineStr" r="X16"/>
      <x:c t="inlineStr" r="Y16">
        <x:is>
          <x:t>Rede social</x:t>
        </x:is>
      </x:c>
      <x:c t="inlineStr" r="Z16">
        <x:is>
          <x:t>Português</x:t>
        </x:is>
      </x:c>
      <x:c t="inlineStr" r="AA16">
        <x:is>
          <x:t>Brasil</x:t>
        </x:is>
      </x:c>
      <x:c t="inlineStr" r="AB16"/>
      <x:c t="inlineStr" r="AC16"/>
      <x:c t="inlineStr" r="AD16"/>
      <x:c t="n" r="AE16">
        <x:v>3</x:v>
      </x:c>
      <x:c t="n" r="AF16">
        <x:v>3</x:v>
      </x:c>
      <x:c t="n" r="AG16">
        <x:v>3</x:v>
      </x:c>
      <x:c t="inlineStr" r="AH16"/>
      <x:c t="inlineStr" r="AI16"/>
      <x:c t="inlineStr" r="AJ16"/>
      <x:c t="inlineStr" r="AK16"/>
      <x:c t="inlineStr" r="AL16"/>
      <x:c t="inlineStr" r="AM16"/>
      <x:c t="inlineStr" r="AN16"/>
      <x:c t="n" r="AO16">
        <x:v>0</x:v>
      </x:c>
      <x:c t="inlineStr" r="AP16"/>
      <x:c t="n" r="AQ16">
        <x:v>220</x:v>
      </x:c>
      <x:c t="inlineStr" r="AR16"/>
      <x:c t="inlineStr" r="AS16"/>
      <x:c t="inlineStr" r="AT16"/>
      <x:c t="n" r="AU16">
        <x:v>872279</x:v>
      </x:c>
      <x:c t="inlineStr" r="AV16"/>
      <x:c t="inlineStr" r="AW16">
        <x:is>
          <x:t>Ipiranga</x:t>
        </x:is>
      </x:c>
      <x:c t="inlineStr" r="AX16">
        <x:is>
          <x:t>shirt,clothing,facial hair,skin,sky,tooth,microphone,finger,baseball cap,tattoo,black hair</x:t>
        </x:is>
      </x:c>
      <x:c t="inlineStr" r="AY16">
        <x:is>
          <x:t>outdoor</x:t>
        </x:is>
      </x:c>
      <x:c t="inlineStr" r="AZ16">
        <x:is>
          <x:t>man</x:t>
        </x:is>
      </x:c>
      <x:c t="inlineStr" r="BA16">
        <x:is>
          <x:t>smile,standing</x:t>
        </x:is>
      </x:c>
      <x:c t="inlineStr" r="BB16">
        <x:is>
          <x:t>PHOTO</x:t>
        </x:is>
      </x:c>
      <x:c t="inlineStr" r="BC16"/>
      <x:c t="inlineStr" r="BD16">
        <x:is>
          <x:t>https://scontent.fjog3-1.fna.fbcdn.net/v/t51.82787-10/789959448_18612670537005627_252446387819339985_n.jpg?stp=dst-jpg_tt6&amp;cstp=mx720x1280&amp;ctp=p565x565&amp;_nc_cat=103&amp;ccb=1-7&amp;_nc_sid=5fad0e&amp;_nc_ohc=52bjQ1I2CRkQ7kNvwEms0pO&amp;_nc_oc=AdoxY8mJjtt7gByumh9aTqMO-kkhGklctSpC8KAUgBi1AN3nMQN0o00jRyxlrlyhJbO70I2jYtE9-_eBt10n0Ixr&amp;_nc_zt=23&amp;_nc_ht=scontent.fjog3-1.fna&amp;_nc_gid=veRDjrTzEAdEFEVXoPuX7Q&amp;_nc_ss=70100&amp;oh=00_AQL9fxl7vr31Ee6S9z3fuGs0T1kBTfm1Tdmo0L9calALkA&amp;oe=6A9D724A</x:t>
        </x:is>
      </x:c>
      <x:c t="inlineStr" r="BE16">
        <x:is>
          <x:t/>
        </x:is>
      </x:c>
      <x:c t="inlineStr" r="BF16">
        <x:is>
          <x:t>Não</x:t>
        </x:is>
      </x:c>
      <x:c t="inlineStr" r="BG16"/>
      <x:c t="inlineStr" r="BH16">
        <x:is>
          <x:t/>
        </x:is>
      </x:c>
      <x:c t="inlineStr" r="BI16">
        <x:is>
          <x:t/>
        </x:is>
      </x:c>
      <x:c t="inlineStr" r="BJ16">
        <x:is>
          <x:t>Lá a parada é completa!</x:t>
        </x:is>
      </x:c>
      <x:c t="inlineStr" r="BK16">
        <x:is>
          <x:t>Ipimax,Campanha: Parada Completa,Ipiranga,Rock In Rio</x:t>
        </x:is>
      </x:c>
      <x:c t="inlineStr" r="BL16"/>
      <x:c t="inlineStr" r="BM16"/>
      <x:c t="inlineStr" r="BN16"/>
      <x:c t="inlineStr" r="BO16"/>
      <x:c t="inlineStr" r="BP16"/>
      <x:c t="inlineStr" r="BQ16"/>
      <x:c t="inlineStr" r="BR16"/>
      <x:c t="inlineStr" r="BS16"/>
      <x:c t="inlineStr" r="BT16"/>
      <x:c t="inlineStr" r="BU16"/>
      <x:c t="inlineStr" r="BV16"/>
      <x:c t="inlineStr" r="BW16">
        <x:is>
          <x:t>Ipimax</x:t>
        </x:is>
      </x:c>
      <x:c t="inlineStr" r="BX16"/>
      <x:c t="inlineStr" r="BY16">
        <x:is>
          <x:t>Campanha: Parada Completa</x:t>
        </x:is>
      </x:c>
      <x:c t="inlineStr" r="BZ16">
        <x:is>
          <x:t>Ipiranga</x:t>
        </x:is>
      </x:c>
      <x:c t="inlineStr" r="CA16"/>
      <x:c t="inlineStr" r="CB16"/>
      <x:c t="inlineStr" r="CC16"/>
      <x:c t="inlineStr" r="CD16"/>
      <x:c t="inlineStr" r="CE16">
        <x:is>
          <x:t>Rock In Rio</x:t>
        </x:is>
      </x:c>
      <x:c t="inlineStr" r="CF16"/>
    </x:row>
    <x:row r="17">
      <x:c t="n" r="A17">
        <x:v>2264519365</x:v>
      </x:c>
      <x:c t="inlineStr" r="B17">
        <x:is>
          <x:t>01.09.2026</x:t>
        </x:is>
      </x:c>
      <x:c t="inlineStr" r="C17">
        <x:is>
          <x:t>15:47</x:t>
        </x:is>
      </x:c>
      <x:c t="inlineStr" r="D17">
        <x:is>
          <x:t>01.09.2026 16:40</x:t>
        </x:is>
      </x:c>
      <x:c t="inlineStr" r="E17">
        <x:is>
          <x:t/>
        </x:is>
      </x:c>
      <x:c t="str" r="F17">
        <x:v>Lá a parada é completa! 🤩
Quem abastece com Ipiranga Ipimax teve uma grata surpresa na manhã desta terça-feira: uma ação no Rio de Janeiro distribuiu 300 ingressos pro @rockinrio, que começa na sexta-feira, na Cidade do Rock!
#IpirangaNoRockinRio #ParadaCompleta #BillNoRIR #Publi</x:v>
      </x:c>
      <x:c t="inlineStr" r="G17">
        <x:is>
          <x:t/>
        </x:is>
      </x:c>
      <x:c t="inlineStr" r="H17"/>
      <x:c t="inlineStr" r="I17">
        <x:is>
          <x:t>Postar</x:t>
        </x:is>
      </x:c>
      <x:c t="inlineStr" r="J17">
        <x:is>
          <x:t>Texto,Vídeo</x:t>
        </x:is>
      </x:c>
      <x:c t="inlineStr" r="K17">
        <x:is>
          <x:t>InstagramReels</x:t>
        </x:is>
      </x:c>
      <x:c r="L17">
        <x:f>HYPERLINK("https://www.instagram.com/p/DcwVrJxNVNu/")</x:f>
      </x:c>
      <x:c t="inlineStr" r="M17">
        <x:is>
          <x:t>Negativo</x:t>
        </x:is>
      </x:c>
      <x:c t="inlineStr" r="N17">
        <x:is>
          <x:t>Billboard Brasil</x:t>
        </x:is>
      </x:c>
      <x:c t="inlineStr" r="O17">
        <x:is>
          <x:t>billboardbr</x:t>
        </x:is>
      </x:c>
      <x:c r="P17">
        <x:f>HYPERLINK("http://instagram.com/billboardbr")</x:f>
      </x:c>
      <x:c t="n" r="Q17">
        <x:v>1224166</x:v>
      </x:c>
      <x:c t="inlineStr" r="R17"/>
      <x:c t="inlineStr" r="S17"/>
      <x:c t="inlineStr" r="T17">
        <x:is>
          <x:t>instagram.com</x:t>
        </x:is>
      </x:c>
      <x:c t="inlineStr" r="U17">
        <x:is>
          <x:t>Billboard Brasil</x:t>
        </x:is>
      </x:c>
      <x:c r="V17">
        <x:f>HYPERLINK("http://instagram.com/billboardbr")</x:f>
      </x:c>
      <x:c t="n" r="W17">
        <x:v>1224166</x:v>
      </x:c>
      <x:c t="inlineStr" r="X17"/>
      <x:c t="inlineStr" r="Y17">
        <x:is>
          <x:t>Rede social</x:t>
        </x:is>
      </x:c>
      <x:c t="inlineStr" r="Z17">
        <x:is>
          <x:t>Português</x:t>
        </x:is>
      </x:c>
      <x:c t="inlineStr" r="AA17"/>
      <x:c t="inlineStr" r="AB17"/>
      <x:c t="inlineStr" r="AC17"/>
      <x:c t="inlineStr" r="AD17"/>
      <x:c t="n" r="AE17">
        <x:v>3</x:v>
      </x:c>
      <x:c t="n" r="AF17">
        <x:v>62</x:v>
      </x:c>
      <x:c t="n" r="AG17">
        <x:v>3</x:v>
      </x:c>
      <x:c t="inlineStr" r="AH17"/>
      <x:c t="inlineStr" r="AI17"/>
      <x:c t="inlineStr" r="AJ17"/>
      <x:c t="inlineStr" r="AK17"/>
      <x:c t="inlineStr" r="AL17"/>
      <x:c t="inlineStr" r="AM17"/>
      <x:c t="inlineStr" r="AN17"/>
      <x:c t="n" r="AO17">
        <x:v>59</x:v>
      </x:c>
      <x:c t="inlineStr" r="AP17"/>
      <x:c t="n" r="AQ17">
        <x:v>3200</x:v>
      </x:c>
      <x:c t="inlineStr" r="AR17"/>
      <x:c t="inlineStr" r="AS17"/>
      <x:c t="inlineStr" r="AT17"/>
      <x:c t="n" r="AU17">
        <x:v>1224166</x:v>
      </x:c>
      <x:c t="inlineStr" r="AV17"/>
      <x:c t="inlineStr" r="AW17">
        <x:is>
          <x:t>Ipiranga</x:t>
        </x:is>
      </x:c>
      <x:c t="inlineStr" r="AX17">
        <x:is>
          <x:t>shirt,clothing,facial hair,skin,sky,tooth,microphone,finger,baseball cap,tattoo,black hair</x:t>
        </x:is>
      </x:c>
      <x:c t="inlineStr" r="AY17">
        <x:is>
          <x:t>outdoor</x:t>
        </x:is>
      </x:c>
      <x:c t="inlineStr" r="AZ17">
        <x:is>
          <x:t>man</x:t>
        </x:is>
      </x:c>
      <x:c t="inlineStr" r="BA17">
        <x:is>
          <x:t>smile,standing</x:t>
        </x:is>
      </x:c>
      <x:c t="inlineStr" r="BB17">
        <x:is>
          <x:t>PHOTO</x:t>
        </x:is>
      </x:c>
      <x:c t="inlineStr" r="BC17"/>
      <x:c t="inlineStr" r="BD17">
        <x:is>
          <x:t>https://scontent-lax3-2.cdninstagram.com/v/t51.82787-15/789959448_18612670537005627_252446387819339985_n.jpg?stp=dst-jpg_e15_tt6&amp;_nc_cat=103&amp;ig_cache_key=Mzk3Njc3Mzc5NTM3MTYzNTU2NjE4NjEyNjcwNTM0MDA1NjI3.3-ccb7-5&amp;ccb=7-5&amp;_nc_sid=58cdad&amp;efg=eyJ2ZW5jb2RlX3RhZyI6IkNMSVBTLnhwaWRzLjcyMC5zZHIudmlkZW9fZGVmYXVsdF9jb3Zlcl9mcmFtZS5DMyJ9&amp;_nc_ohc=52bjQ1I2CRkQ7kNvwEY0WGl&amp;_nc_oc=AdrFyQDRvagqa1090_BDirwhANdWk0mWKs1EJtPfCojNHpb09GhhVcXZD6AFeKGjABE&amp;_nc_ad=z-m&amp;_nc_cid=0&amp;_nc_zt=23&amp;_nc_ht=scontent-lax3-2.cdninstagram.com&amp;_nc_gid=qXwopac-jkHYVj6vAWKLpA&amp;_nc_ss=7a22e&amp;oh=00_AQIL95JIaXlg54rrfXJ8fbYf9ndx850E348fxk0ZDFr00A&amp;oe=6A9D1768</x:t>
        </x:is>
      </x:c>
      <x:c t="inlineStr" r="BE17">
        <x:is>
          <x:t/>
        </x:is>
      </x:c>
      <x:c t="inlineStr" r="BF17">
        <x:is>
          <x:t>Não</x:t>
        </x:is>
      </x:c>
      <x:c t="inlineStr" r="BG17"/>
      <x:c t="inlineStr" r="BH17">
        <x:is>
          <x:t/>
        </x:is>
      </x:c>
      <x:c t="inlineStr" r="BI17">
        <x:is>
          <x:t/>
        </x:is>
      </x:c>
      <x:c t="inlineStr" r="BJ17">
        <x:is>
          <x:t>Lá a parada é completa!</x:t>
        </x:is>
      </x:c>
      <x:c t="inlineStr" r="BK17">
        <x:is>
          <x:t>Ipimax,Campanha: Parada Completa,Ipiranga,Rock In Rio</x:t>
        </x:is>
      </x:c>
      <x:c t="inlineStr" r="BL17"/>
      <x:c t="inlineStr" r="BM17"/>
      <x:c t="inlineStr" r="BN17"/>
      <x:c t="inlineStr" r="BO17"/>
      <x:c t="inlineStr" r="BP17"/>
      <x:c t="inlineStr" r="BQ17"/>
      <x:c t="inlineStr" r="BR17"/>
      <x:c t="inlineStr" r="BS17"/>
      <x:c t="inlineStr" r="BT17"/>
      <x:c t="inlineStr" r="BU17"/>
      <x:c t="inlineStr" r="BV17"/>
      <x:c t="inlineStr" r="BW17">
        <x:is>
          <x:t>Ipimax</x:t>
        </x:is>
      </x:c>
      <x:c t="inlineStr" r="BX17"/>
      <x:c t="inlineStr" r="BY17">
        <x:is>
          <x:t>Campanha: Parada Completa</x:t>
        </x:is>
      </x:c>
      <x:c t="inlineStr" r="BZ17">
        <x:is>
          <x:t>Ipiranga</x:t>
        </x:is>
      </x:c>
      <x:c t="inlineStr" r="CA17"/>
      <x:c t="inlineStr" r="CB17"/>
      <x:c t="inlineStr" r="CC17"/>
      <x:c t="inlineStr" r="CD17"/>
      <x:c t="inlineStr" r="CE17">
        <x:is>
          <x:t>Rock In Rio</x:t>
        </x:is>
      </x:c>
      <x:c t="inlineStr" r="CF17"/>
    </x:row>
    <x:row r="18">
      <x:c t="n" r="A18">
        <x:v>3469923972</x:v>
      </x:c>
      <x:c t="inlineStr" r="B18">
        <x:is>
          <x:t>01.09.2026</x:t>
        </x:is>
      </x:c>
      <x:c t="inlineStr" r="C18">
        <x:is>
          <x:t>13:56</x:t>
        </x:is>
      </x:c>
      <x:c t="inlineStr" r="D18">
        <x:is>
          <x:t>01.09.2026 13:57</x:t>
        </x:is>
      </x:c>
      <x:c t="inlineStr" r="E18">
        <x:is>
          <x:t/>
        </x:is>
      </x:c>
      <x:c t="inlineStr" r="F18">
        <x:is>
          <x:t>@ipiranga me dá um ingresso pra ver o jamiroquai no rock in rio por favorrrr</x:t>
        </x:is>
      </x:c>
      <x:c t="inlineStr" r="G18">
        <x:is>
          <x:t/>
        </x:is>
      </x:c>
      <x:c t="inlineStr" r="H18"/>
      <x:c t="inlineStr" r="I18">
        <x:is>
          <x:t>Postar</x:t>
        </x:is>
      </x:c>
      <x:c t="inlineStr" r="J18">
        <x:is>
          <x:t>Texto</x:t>
        </x:is>
      </x:c>
      <x:c t="inlineStr" r="K18"/>
      <x:c r="L18">
        <x:f>HYPERLINK("https://x.com/DelToroMonster/status/2094831666401296411")</x:f>
      </x:c>
      <x:c t="inlineStr" r="M18">
        <x:is>
          <x:t>Negativo</x:t>
        </x:is>
      </x:c>
      <x:c t="inlineStr" r="N18">
        <x:is>
          <x:t>el pedron</x:t>
        </x:is>
      </x:c>
      <x:c t="inlineStr" r="O18">
        <x:is>
          <x:t>DelToroMonster</x:t>
        </x:is>
      </x:c>
      <x:c r="P18">
        <x:f>HYPERLINK("http://x.com/DelToroMonster")</x:f>
      </x:c>
      <x:c t="n" r="Q18">
        <x:v>2</x:v>
      </x:c>
      <x:c t="inlineStr" r="R18">
        <x:is>
          <x:t>Homem</x:t>
        </x:is>
      </x:c>
      <x:c t="inlineStr" r="S18"/>
      <x:c t="inlineStr" r="T18">
        <x:is>
          <x:t>x.com</x:t>
        </x:is>
      </x:c>
      <x:c t="inlineStr" r="U18"/>
      <x:c t="inlineStr" r="V18"/>
      <x:c t="inlineStr" r="W18"/>
      <x:c t="inlineStr" r="X18"/>
      <x:c t="inlineStr" r="Y18">
        <x:is>
          <x:t>Rede social</x:t>
        </x:is>
      </x:c>
      <x:c t="inlineStr" r="Z18">
        <x:is>
          <x:t>Português</x:t>
        </x:is>
      </x:c>
      <x:c t="inlineStr" r="AA18">
        <x:is>
          <x:t>Brasil</x:t>
        </x:is>
      </x:c>
      <x:c t="inlineStr" r="AB18"/>
      <x:c t="inlineStr" r="AC18"/>
      <x:c t="inlineStr" r="AD18"/>
      <x:c t="n" r="AE18">
        <x:v>0</x:v>
      </x:c>
      <x:c t="n" r="AF18">
        <x:v>0</x:v>
      </x:c>
      <x:c t="n" r="AG18">
        <x:v>0</x:v>
      </x:c>
      <x:c t="inlineStr" r="AH18"/>
      <x:c t="inlineStr" r="AI18"/>
      <x:c t="inlineStr" r="AJ18"/>
      <x:c t="inlineStr" r="AK18"/>
      <x:c t="inlineStr" r="AL18"/>
      <x:c t="inlineStr" r="AM18"/>
      <x:c t="inlineStr" r="AN18"/>
      <x:c t="n" r="AO18">
        <x:v>0</x:v>
      </x:c>
      <x:c t="n" r="AP18">
        <x:v>0</x:v>
      </x:c>
      <x:c t="n" r="AQ18">
        <x:v>34</x:v>
      </x:c>
      <x:c t="inlineStr" r="AR18"/>
      <x:c t="inlineStr" r="AS18"/>
      <x:c t="inlineStr" r="AT18"/>
      <x:c t="n" r="AU18">
        <x:v>2</x:v>
      </x:c>
      <x:c t="inlineStr" r="AV18"/>
      <x:c t="inlineStr" r="AW18"/>
      <x:c t="inlineStr" r="AX18"/>
      <x:c t="inlineStr" r="AY18"/>
      <x:c t="inlineStr" r="AZ18"/>
      <x:c t="inlineStr" r="BA18"/>
      <x:c t="inlineStr" r="BB18"/>
      <x:c t="inlineStr" r="BC18"/>
      <x:c t="inlineStr" r="BD18"/>
      <x:c t="inlineStr" r="BE18">
        <x:is>
          <x:t/>
        </x:is>
      </x:c>
      <x:c t="inlineStr" r="BF18">
        <x:is>
          <x:t>Não</x:t>
        </x:is>
      </x:c>
      <x:c t="inlineStr" r="BG18">
        <x:is>
          <x:t>Preço_Negativo</x:t>
        </x:is>
      </x:c>
      <x:c t="inlineStr" r="BH18">
        <x:is>
          <x:t/>
        </x:is>
      </x:c>
      <x:c t="inlineStr" r="BI18">
        <x:is>
          <x:t>WOM</x:t>
        </x:is>
      </x:c>
      <x:c t="inlineStr" r="BJ18"/>
      <x:c t="inlineStr" r="BK18">
        <x:is>
          <x:t>Ipiranga,Rock In Rio</x:t>
        </x:is>
      </x:c>
      <x:c t="inlineStr" r="BL18"/>
      <x:c t="inlineStr" r="BM18"/>
      <x:c t="inlineStr" r="BN18"/>
      <x:c t="inlineStr" r="BO18"/>
      <x:c t="inlineStr" r="BP18"/>
      <x:c t="inlineStr" r="BQ18"/>
      <x:c t="inlineStr" r="BR18"/>
      <x:c t="inlineStr" r="BS18"/>
      <x:c t="inlineStr" r="BT18"/>
      <x:c t="inlineStr" r="BU18"/>
      <x:c t="inlineStr" r="BV18"/>
      <x:c t="inlineStr" r="BW18"/>
      <x:c t="inlineStr" r="BX18"/>
      <x:c t="inlineStr" r="BY18"/>
      <x:c t="inlineStr" r="BZ18">
        <x:is>
          <x:t>Ipiranga</x:t>
        </x:is>
      </x:c>
      <x:c t="inlineStr" r="CA18"/>
      <x:c t="inlineStr" r="CB18"/>
      <x:c t="inlineStr" r="CC18"/>
      <x:c t="inlineStr" r="CD18"/>
      <x:c t="inlineStr" r="CE18">
        <x:is>
          <x:t>Rock In Rio</x:t>
        </x:is>
      </x:c>
      <x:c t="inlineStr" r="CF18"/>
    </x:row>
    <x:row r="19">
      <x:c t="n" r="A19">
        <x:v>978241897</x:v>
      </x:c>
      <x:c t="inlineStr" r="B19">
        <x:is>
          <x:t>01.09.2026</x:t>
        </x:is>
      </x:c>
      <x:c t="inlineStr" r="C19">
        <x:is>
          <x:t>13:39</x:t>
        </x:is>
      </x:c>
      <x:c t="inlineStr" r="D19">
        <x:is>
          <x:t>01.09.2026 14:43</x:t>
        </x:is>
      </x:c>
      <x:c t="inlineStr" r="E19">
        <x:is>
          <x:t/>
        </x:is>
      </x:c>
      <x:c t="str" r="F19">
        <x:v>TENHO FOMO!
NINGUÉM QUER FICAR DE FORA! Pedro Sampaio e Ipiranga realizaram uma ação para distribuir ingresso para o Rock In Rio e o resultado foi o CAOS nos postos da Barra da Tijuca, no Rio de Janeiro. 🤯</x:v>
      </x:c>
      <x:c t="inlineStr" r="G19">
        <x:is>
          <x:t/>
        </x:is>
      </x:c>
      <x:c t="inlineStr" r="H19"/>
      <x:c t="inlineStr" r="I19">
        <x:is>
          <x:t>Repostagem estendida</x:t>
        </x:is>
      </x:c>
      <x:c t="inlineStr" r="J19">
        <x:is>
          <x:t>Vídeo,Texto</x:t>
        </x:is>
      </x:c>
      <x:c t="inlineStr" r="K19"/>
      <x:c r="L19">
        <x:f>HYPERLINK("https://x.com/camargo__fe/status/2094827417554534503")</x:f>
      </x:c>
      <x:c t="inlineStr" r="M19">
        <x:is>
          <x:t>Negativo</x:t>
        </x:is>
      </x:c>
      <x:c t="inlineStr" r="N19">
        <x:is>
          <x:t>Fellipe Camargo</x:t>
        </x:is>
      </x:c>
      <x:c t="inlineStr" r="O19">
        <x:is>
          <x:t>camargo__fe</x:t>
        </x:is>
      </x:c>
      <x:c r="P19">
        <x:f>HYPERLINK("http://x.com/camargo__fe")</x:f>
      </x:c>
      <x:c t="n" r="Q19">
        <x:v>0</x:v>
      </x:c>
      <x:c t="inlineStr" r="R19">
        <x:is>
          <x:t>Homem</x:t>
        </x:is>
      </x:c>
      <x:c t="inlineStr" r="S19"/>
      <x:c t="inlineStr" r="T19">
        <x:is>
          <x:t>x.com</x:t>
        </x:is>
      </x:c>
      <x:c t="inlineStr" r="U19"/>
      <x:c t="inlineStr" r="V19"/>
      <x:c t="inlineStr" r="W19"/>
      <x:c t="inlineStr" r="X19"/>
      <x:c t="inlineStr" r="Y19">
        <x:is>
          <x:t>Rede social</x:t>
        </x:is>
      </x:c>
      <x:c t="inlineStr" r="Z19">
        <x:is>
          <x:t>Português</x:t>
        </x:is>
      </x:c>
      <x:c t="inlineStr" r="AA19">
        <x:is>
          <x:t>Brasil</x:t>
        </x:is>
      </x:c>
      <x:c t="inlineStr" r="AB19"/>
      <x:c t="inlineStr" r="AC19"/>
      <x:c t="inlineStr" r="AD19"/>
      <x:c t="inlineStr" r="AE19"/>
      <x:c t="n" r="AF19">
        <x:v>0</x:v>
      </x:c>
      <x:c t="inlineStr" r="AG19"/>
      <x:c t="inlineStr" r="AH19"/>
      <x:c t="inlineStr" r="AI19"/>
      <x:c t="inlineStr" r="AJ19"/>
      <x:c t="inlineStr" r="AK19"/>
      <x:c t="inlineStr" r="AL19"/>
      <x:c t="inlineStr" r="AM19"/>
      <x:c t="inlineStr" r="AN19"/>
      <x:c t="inlineStr" r="AO19"/>
      <x:c t="inlineStr" r="AP19"/>
      <x:c t="n" r="AQ19">
        <x:v>8</x:v>
      </x:c>
      <x:c t="inlineStr" r="AR19"/>
      <x:c t="inlineStr" r="AS19"/>
      <x:c t="inlineStr" r="AT19"/>
      <x:c t="n" r="AU19">
        <x:v>0</x:v>
      </x:c>
      <x:c t="inlineStr" r="AV19"/>
      <x:c t="inlineStr" r="AW19">
        <x:is>
          <x:t/>
        </x:is>
      </x:c>
      <x:c t="inlineStr" r="AX19">
        <x:is>
          <x:t>plant,text,vehicle,car,tree,skin,building,wheel,emblem</x:t>
        </x:is>
      </x:c>
      <x:c t="inlineStr" r="AY19">
        <x:is>
          <x:t>outdoor</x:t>
        </x:is>
      </x:c>
      <x:c t="inlineStr" r="AZ19">
        <x:is>
          <x:t>man</x:t>
        </x:is>
      </x:c>
      <x:c t="inlineStr" r="BA19">
        <x:is>
          <x:t/>
        </x:is>
      </x:c>
      <x:c t="inlineStr" r="BB19">
        <x:is>
          <x:t>ILLUSTRATION</x:t>
        </x:is>
      </x:c>
      <x:c t="inlineStr" r="BC19">
        <x:is>
          <x:t>photo caption</x:t>
        </x:is>
      </x:c>
      <x:c r="BD19">
        <x:f>HYPERLINK("https://pbs.twimg.com/amplify_video_thumb/2094822605467308032/img/ifhaTV8gMUNNa-pD.jpg")</x:f>
      </x:c>
      <x:c t="inlineStr" r="BE19">
        <x:is>
          <x:t/>
        </x:is>
      </x:c>
      <x:c t="inlineStr" r="BF19">
        <x:is>
          <x:t>Não</x:t>
        </x:is>
      </x:c>
      <x:c t="inlineStr" r="BG19"/>
      <x:c t="inlineStr" r="BH19">
        <x:is>
          <x:t/>
        </x:is>
      </x:c>
      <x:c t="inlineStr" r="BI19">
        <x:is>
          <x:t/>
        </x:is>
      </x:c>
      <x:c t="inlineStr" r="BJ19">
        <x:is>
          <x:t>O Rock in Rio começa semana que vem e por aqui a ansiedade já está ON!</x:t>
        </x:is>
      </x:c>
      <x:c t="inlineStr" r="BK19">
        <x:is>
          <x:t>Ipiranga,Rock In Rio</x:t>
        </x:is>
      </x:c>
      <x:c t="inlineStr" r="BL19"/>
      <x:c t="inlineStr" r="BM19"/>
      <x:c t="inlineStr" r="BN19"/>
      <x:c t="inlineStr" r="BO19"/>
      <x:c t="inlineStr" r="BP19"/>
      <x:c t="inlineStr" r="BQ19"/>
      <x:c t="inlineStr" r="BR19"/>
      <x:c t="inlineStr" r="BS19"/>
      <x:c t="inlineStr" r="BT19"/>
      <x:c t="inlineStr" r="BU19"/>
      <x:c t="inlineStr" r="BV19"/>
      <x:c t="inlineStr" r="BW19"/>
      <x:c t="inlineStr" r="BX19"/>
      <x:c t="inlineStr" r="BY19"/>
      <x:c t="inlineStr" r="BZ19">
        <x:is>
          <x:t>Ipiranga</x:t>
        </x:is>
      </x:c>
      <x:c t="inlineStr" r="CA19"/>
      <x:c t="inlineStr" r="CB19"/>
      <x:c t="inlineStr" r="CC19"/>
      <x:c t="inlineStr" r="CD19"/>
      <x:c t="inlineStr" r="CE19">
        <x:is>
          <x:t>Rock In Rio</x:t>
        </x:is>
      </x:c>
      <x:c t="inlineStr" r="CF19"/>
    </x:row>
    <x:row r="20">
      <x:c t="n" r="A20">
        <x:v>2463455543</x:v>
      </x:c>
      <x:c t="inlineStr" r="B20">
        <x:is>
          <x:t>01.09.2026</x:t>
        </x:is>
      </x:c>
      <x:c t="inlineStr" r="C20">
        <x:is>
          <x:t>13:20</x:t>
        </x:is>
      </x:c>
      <x:c t="inlineStr" r="D20">
        <x:is>
          <x:t>01.09.2026 13:23</x:t>
        </x:is>
      </x:c>
      <x:c t="inlineStr" r="E20">
        <x:is>
          <x:t/>
        </x:is>
      </x:c>
      <x:c t="inlineStr" r="F20">
        <x:is>
          <x:t>NINGUÉM QUER FICAR DE FORA! Pedro Sampaio e Ipiranga realizaram uma ação para distribuir ingresso para o Rock In Rio e o resultado foi o CAOS nos postos da Barra da Tijuca, no Rio de Janeiro. 🤯</x:t>
        </x:is>
      </x:c>
      <x:c t="inlineStr" r="G20">
        <x:is>
          <x:t/>
        </x:is>
      </x:c>
      <x:c t="inlineStr" r="H20"/>
      <x:c t="inlineStr" r="I20">
        <x:is>
          <x:t>Postar</x:t>
        </x:is>
      </x:c>
      <x:c t="inlineStr" r="J20">
        <x:is>
          <x:t>Vídeo,Texto</x:t>
        </x:is>
      </x:c>
      <x:c t="inlineStr" r="K20"/>
      <x:c r="L20">
        <x:f>HYPERLINK("https://x.com/sampaiers/status/2094822668201500882")</x:f>
      </x:c>
      <x:c t="inlineStr" r="M20">
        <x:is>
          <x:t>Negativo</x:t>
        </x:is>
      </x:c>
      <x:c t="inlineStr" r="N20">
        <x:is>
          <x:t>SAMPAIERS</x:t>
        </x:is>
      </x:c>
      <x:c t="inlineStr" r="O20">
        <x:is>
          <x:t>sampaiers</x:t>
        </x:is>
      </x:c>
      <x:c r="P20">
        <x:f>HYPERLINK("http://x.com/sampaiers")</x:f>
      </x:c>
      <x:c t="n" r="Q20">
        <x:v>14257</x:v>
      </x:c>
      <x:c t="inlineStr" r="R20"/>
      <x:c t="inlineStr" r="S20"/>
      <x:c t="inlineStr" r="T20">
        <x:is>
          <x:t>x.com</x:t>
        </x:is>
      </x:c>
      <x:c t="inlineStr" r="U20"/>
      <x:c t="inlineStr" r="V20"/>
      <x:c t="inlineStr" r="W20"/>
      <x:c t="inlineStr" r="X20"/>
      <x:c t="inlineStr" r="Y20">
        <x:is>
          <x:t>Rede social</x:t>
        </x:is>
      </x:c>
      <x:c t="inlineStr" r="Z20">
        <x:is>
          <x:t>Português</x:t>
        </x:is>
      </x:c>
      <x:c t="inlineStr" r="AA20">
        <x:is>
          <x:t>Brasil</x:t>
        </x:is>
      </x:c>
      <x:c t="inlineStr" r="AB20"/>
      <x:c t="inlineStr" r="AC20"/>
      <x:c t="inlineStr" r="AD20"/>
      <x:c t="n" r="AE20">
        <x:v>13</x:v>
      </x:c>
      <x:c t="n" r="AF20">
        <x:v>15</x:v>
      </x:c>
      <x:c t="n" r="AG20">
        <x:v>13</x:v>
      </x:c>
      <x:c t="inlineStr" r="AH20"/>
      <x:c t="inlineStr" r="AI20"/>
      <x:c t="inlineStr" r="AJ20"/>
      <x:c t="inlineStr" r="AK20"/>
      <x:c t="inlineStr" r="AL20"/>
      <x:c t="inlineStr" r="AM20"/>
      <x:c t="inlineStr" r="AN20"/>
      <x:c t="n" r="AO20">
        <x:v>0</x:v>
      </x:c>
      <x:c t="n" r="AP20">
        <x:v>2</x:v>
      </x:c>
      <x:c t="n" r="AQ20">
        <x:v>529</x:v>
      </x:c>
      <x:c t="inlineStr" r="AR20"/>
      <x:c t="inlineStr" r="AS20"/>
      <x:c t="inlineStr" r="AT20"/>
      <x:c t="n" r="AU20">
        <x:v>14257</x:v>
      </x:c>
      <x:c t="inlineStr" r="AV20"/>
      <x:c t="inlineStr" r="AW20">
        <x:is>
          <x:t/>
        </x:is>
      </x:c>
      <x:c t="inlineStr" r="AX20">
        <x:is>
          <x:t>plant,text,vehicle,car,tree,skin,building,wheel,emblem</x:t>
        </x:is>
      </x:c>
      <x:c t="inlineStr" r="AY20">
        <x:is>
          <x:t>outdoor</x:t>
        </x:is>
      </x:c>
      <x:c t="inlineStr" r="AZ20">
        <x:is>
          <x:t>man</x:t>
        </x:is>
      </x:c>
      <x:c t="inlineStr" r="BA20">
        <x:is>
          <x:t/>
        </x:is>
      </x:c>
      <x:c t="inlineStr" r="BB20">
        <x:is>
          <x:t>ILLUSTRATION</x:t>
        </x:is>
      </x:c>
      <x:c t="inlineStr" r="BC20">
        <x:is>
          <x:t>photo caption</x:t>
        </x:is>
      </x:c>
      <x:c r="BD20">
        <x:f>HYPERLINK("https://pbs.twimg.com/amplify_video_thumb/2094822605467308032/img/ifhaTV8gMUNNa-pD.jpg")</x:f>
      </x:c>
      <x:c t="inlineStr" r="BE20">
        <x:is>
          <x:t/>
        </x:is>
      </x:c>
      <x:c t="inlineStr" r="BF20">
        <x:is>
          <x:t>Não</x:t>
        </x:is>
      </x:c>
      <x:c t="inlineStr" r="BG20"/>
      <x:c t="inlineStr" r="BH20">
        <x:is>
          <x:t/>
        </x:is>
      </x:c>
      <x:c t="inlineStr" r="BI20">
        <x:is>
          <x:t>Artigo</x:t>
        </x:is>
      </x:c>
      <x:c t="inlineStr" r="BJ20">
        <x:is>
          <x:t>O Rock in Rio começa semana que vem e por aqui a ansiedade já está ON!</x:t>
        </x:is>
      </x:c>
      <x:c t="inlineStr" r="BK20">
        <x:is>
          <x:t>Ipiranga,Rock In Rio</x:t>
        </x:is>
      </x:c>
      <x:c t="inlineStr" r="BL20"/>
      <x:c t="inlineStr" r="BM20"/>
      <x:c t="inlineStr" r="BN20"/>
      <x:c t="inlineStr" r="BO20"/>
      <x:c t="inlineStr" r="BP20"/>
      <x:c t="inlineStr" r="BQ20"/>
      <x:c t="inlineStr" r="BR20"/>
      <x:c t="inlineStr" r="BS20"/>
      <x:c t="inlineStr" r="BT20"/>
      <x:c t="inlineStr" r="BU20"/>
      <x:c t="inlineStr" r="BV20"/>
      <x:c t="inlineStr" r="BW20"/>
      <x:c t="inlineStr" r="BX20"/>
      <x:c t="inlineStr" r="BY20"/>
      <x:c t="inlineStr" r="BZ20">
        <x:is>
          <x:t>Ipiranga</x:t>
        </x:is>
      </x:c>
      <x:c t="inlineStr" r="CA20"/>
      <x:c t="inlineStr" r="CB20"/>
      <x:c t="inlineStr" r="CC20"/>
      <x:c t="inlineStr" r="CD20"/>
      <x:c t="inlineStr" r="CE20">
        <x:is>
          <x:t>Rock In Rio</x:t>
        </x:is>
      </x:c>
      <x:c t="inlineStr" r="CF20"/>
    </x:row>
    <x:row r="21">
      <x:c t="n" r="A21">
        <x:v>1214979023</x:v>
      </x:c>
      <x:c t="inlineStr" r="B21">
        <x:is>
          <x:t>01.09.2026</x:t>
        </x:is>
      </x:c>
      <x:c t="inlineStr" r="C21">
        <x:is>
          <x:t>13:13</x:t>
        </x:is>
      </x:c>
      <x:c t="inlineStr" r="D21">
        <x:is>
          <x:t>01.09.2026 15:15</x:t>
        </x:is>
      </x:c>
      <x:c t="inlineStr" r="E21">
        <x:is>
          <x:t/>
        </x:is>
      </x:c>
      <x:c t="str" r="F21">
        <x:v>A senhora vai pro Rock in Rio e ainda não sabia dessas vantagens? Pois agora tá sabendo 👀 Baixa o Km de Vantagens e aproveitaaaa! 💛
#RockinRio #IpirangaNoRockInRio #ParadaCompleta *publicidade
@ipiranga</x:v>
      </x:c>
      <x:c t="inlineStr" r="G21">
        <x:is>
          <x:t/>
        </x:is>
      </x:c>
      <x:c t="inlineStr" r="H21"/>
      <x:c t="inlineStr" r="I21">
        <x:is>
          <x:t>Postar</x:t>
        </x:is>
      </x:c>
      <x:c t="inlineStr" r="J21">
        <x:is>
          <x:t>Texto,Vídeo</x:t>
        </x:is>
      </x:c>
      <x:c t="inlineStr" r="K21">
        <x:is>
          <x:t>InstagramReels</x:t>
        </x:is>
      </x:c>
      <x:c r="L21">
        <x:f>HYPERLINK("https://www.instagram.com/p/DcwD8xvRN7Z/")</x:f>
      </x:c>
      <x:c t="inlineStr" r="M21">
        <x:is>
          <x:t>Negativo</x:t>
        </x:is>
      </x:c>
      <x:c t="inlineStr" r="N21">
        <x:is>
          <x:t>Henri Kress</x:t>
        </x:is>
      </x:c>
      <x:c t="inlineStr" r="O21">
        <x:is>
          <x:t>henrikress</x:t>
        </x:is>
      </x:c>
      <x:c r="P21">
        <x:f>HYPERLINK("http://instagram.com/henrikress")</x:f>
      </x:c>
      <x:c t="n" r="Q21">
        <x:v>131386</x:v>
      </x:c>
      <x:c t="inlineStr" r="R21">
        <x:is>
          <x:t>Homem</x:t>
        </x:is>
      </x:c>
      <x:c t="inlineStr" r="S21"/>
      <x:c t="inlineStr" r="T21">
        <x:is>
          <x:t>instagram.com</x:t>
        </x:is>
      </x:c>
      <x:c t="inlineStr" r="U21">
        <x:is>
          <x:t>Henri Kress</x:t>
        </x:is>
      </x:c>
      <x:c r="V21">
        <x:f>HYPERLINK("http://instagram.com/henrikress")</x:f>
      </x:c>
      <x:c t="n" r="W21">
        <x:v>131386</x:v>
      </x:c>
      <x:c t="inlineStr" r="X21"/>
      <x:c t="inlineStr" r="Y21">
        <x:is>
          <x:t>Rede social</x:t>
        </x:is>
      </x:c>
      <x:c t="inlineStr" r="Z21">
        <x:is>
          <x:t>Português</x:t>
        </x:is>
      </x:c>
      <x:c t="inlineStr" r="AA21"/>
      <x:c t="inlineStr" r="AB21"/>
      <x:c t="inlineStr" r="AC21"/>
      <x:c t="inlineStr" r="AD21"/>
      <x:c t="n" r="AE21">
        <x:v>286</x:v>
      </x:c>
      <x:c t="n" r="AF21">
        <x:v>342</x:v>
      </x:c>
      <x:c t="n" r="AG21">
        <x:v>286</x:v>
      </x:c>
      <x:c t="inlineStr" r="AH21"/>
      <x:c t="inlineStr" r="AI21"/>
      <x:c t="inlineStr" r="AJ21"/>
      <x:c t="inlineStr" r="AK21"/>
      <x:c t="inlineStr" r="AL21"/>
      <x:c t="inlineStr" r="AM21"/>
      <x:c t="inlineStr" r="AN21"/>
      <x:c t="n" r="AO21">
        <x:v>56</x:v>
      </x:c>
      <x:c t="inlineStr" r="AP21"/>
      <x:c t="n" r="AQ21">
        <x:v>4966</x:v>
      </x:c>
      <x:c t="inlineStr" r="AR21"/>
      <x:c t="inlineStr" r="AS21"/>
      <x:c t="inlineStr" r="AT21"/>
      <x:c t="n" r="AU21">
        <x:v>131386</x:v>
      </x:c>
      <x:c t="inlineStr" r="AV21"/>
      <x:c t="inlineStr" r="AW21">
        <x:is>
          <x:t/>
        </x:is>
      </x:c>
      <x:c t="inlineStr" r="AX21">
        <x:is>
          <x:t>shirt,clothing,t-shirt,tooth,text,skin,finger,brown hair,picture frame</x:t>
        </x:is>
      </x:c>
      <x:c t="inlineStr" r="AY21">
        <x:is>
          <x:t/>
        </x:is>
      </x:c>
      <x:c t="inlineStr" r="AZ21">
        <x:is>
          <x:t>man</x:t>
        </x:is>
      </x:c>
      <x:c t="inlineStr" r="BA21">
        <x:is>
          <x:t/>
        </x:is>
      </x:c>
      <x:c t="inlineStr" r="BB21">
        <x:is>
          <x:t>PHOTO</x:t>
        </x:is>
      </x:c>
      <x:c t="inlineStr" r="BC21"/>
      <x:c t="inlineStr" r="BD21">
        <x:is>
          <x:t>https://instagram.fpnq13-4.fna.fbcdn.net/v/t51.82787-15/790791724_18615511786036940_157051740665183129_n.jpg?stp=dst-jpg_e15_tt6&amp;_nc_cat=102&amp;ig_cache_key=Mzk3NjY5NTg0MTY4MjY3NzQ2NTE4NjE1NTExNzgwMDM2OTQw.3-ccb7-5&amp;ccb=7-5&amp;_nc_sid=58cdad&amp;efg=eyJ2ZW5jb2RlX3RhZyI6IkNMSVBTLnhwaWRzLjcyMC5zZHIudmlkZW9fZGVmYXVsdF9jb3Zlcl9mcmFtZS5DMyJ9&amp;_nc_ohc=ltx5I4rqMLIQ7kNvwEtVcdV&amp;_nc_oc=AdpQZVz_u2Uw_0xCn7GvNO350ttm9VkU-cFQbbDpu03klYJmQb7Y_6jEbUVY4bl9cXM&amp;_nc_ad=z-m&amp;_nc_cid=2034&amp;_nc_zt=23&amp;_nc_ht=instagram.fpnq13-4.fna&amp;_nc_gid=t3rhj4Nzapo5Q2OzyjEBYg&amp;_nc_ss=7a22e&amp;oh=00_AQIpa0Ri8HB3D0HC69ui8gQubMSR62RD5PplAX3zjI3OWw&amp;oe=6A9CFA59</x:t>
        </x:is>
      </x:c>
      <x:c t="inlineStr" r="BE21">
        <x:is>
          <x:t/>
        </x:is>
      </x:c>
      <x:c t="inlineStr" r="BF21">
        <x:is>
          <x:t>Não</x:t>
        </x:is>
      </x:c>
      <x:c t="inlineStr" r="BG21"/>
      <x:c t="inlineStr" r="BH21">
        <x:is>
          <x:t/>
        </x:is>
      </x:c>
      <x:c t="inlineStr" r="BI21">
        <x:is>
          <x:t>WOM</x:t>
        </x:is>
      </x:c>
      <x:c t="inlineStr" r="BJ21">
        <x:is>
          <x:t>A senhora vai pro Rock in Rio e ainda não sabia dessas vantagens?</x:t>
        </x:is>
      </x:c>
      <x:c t="inlineStr" r="BK21">
        <x:is>
          <x:t>Ipiranga,App KMV,Rock In Rio</x:t>
        </x:is>
      </x:c>
      <x:c t="inlineStr" r="BL21"/>
      <x:c t="inlineStr" r="BM21"/>
      <x:c t="inlineStr" r="BN21"/>
      <x:c t="inlineStr" r="BO21"/>
      <x:c t="inlineStr" r="BP21"/>
      <x:c t="inlineStr" r="BQ21"/>
      <x:c t="inlineStr" r="BR21"/>
      <x:c t="inlineStr" r="BS21"/>
      <x:c t="inlineStr" r="BT21"/>
      <x:c t="inlineStr" r="BU21"/>
      <x:c t="inlineStr" r="BV21"/>
      <x:c t="inlineStr" r="BW21"/>
      <x:c t="inlineStr" r="BX21"/>
      <x:c t="inlineStr" r="BY21"/>
      <x:c t="inlineStr" r="BZ21">
        <x:is>
          <x:t>Ipiranga</x:t>
        </x:is>
      </x:c>
      <x:c t="inlineStr" r="CA21"/>
      <x:c t="inlineStr" r="CB21"/>
      <x:c t="inlineStr" r="CC21"/>
      <x:c t="inlineStr" r="CD21">
        <x:is>
          <x:t>App KMV</x:t>
        </x:is>
      </x:c>
      <x:c t="inlineStr" r="CE21">
        <x:is>
          <x:t>Rock In Rio</x:t>
        </x:is>
      </x:c>
      <x:c t="inlineStr" r="CF21"/>
    </x:row>
    <x:row r="22">
      <x:c t="n" r="A22">
        <x:v>4161670204</x:v>
      </x:c>
      <x:c t="inlineStr" r="B22">
        <x:is>
          <x:t>01.09.2026</x:t>
        </x:is>
      </x:c>
      <x:c t="inlineStr" r="C22">
        <x:is>
          <x:t>12:38</x:t>
        </x:is>
      </x:c>
      <x:c t="inlineStr" r="D22">
        <x:is>
          <x:t>01.09.2026 13:29</x:t>
        </x:is>
      </x:c>
      <x:c t="inlineStr" r="E22">
        <x:is>
          <x:t/>
        </x:is>
      </x:c>
      <x:c t="str" r="F22">
        <x:v>🚨🎫 POP EMERGENCY! Quer ingressos para o Rock in Rio Brasil 2026? A BC tem uma super oportunidade para você aproveitar o maior festival de música do mundo.
A Blitz Ipiranga acabou de acontecer, hitou e distribuiu centenas de ingressos. Enquanto a Semana Aditivada segue rolando no posto Ipiranga, você tem mais uma oportunidade de garantir ingressos de Gramado para o festival. Vem ver como funciona:
✍🏻 CONCURSO CULTURAL: a sua criatividade pode te levar para o Rock in Rio Brasil 2026. Basta seguir os seguintes passos: seguir ipiranga no Instagram, ir até o post do concurso e comentar uma frase criativa utilizando as palavras “Ipiranga” e “Parada Completa”. Pronto! Os 100 comentários mais divertidos, selecionados pelo time Ipiranga, levarão 1 PAR de ingressos de gramado. Mas não deixe pra depois, os comentários podem ser feitos das 12h de 01/09 até as 17h de 02/09.
Bora curtir o sol da meia-noite no Rock in Rio com a BC? CORRE PRA PARTICIPAR!
#IpirangaNoRockinRio #ParadaCompleta
#Publicidade</x:v>
      </x:c>
      <x:c t="inlineStr" r="G22">
        <x:is>
          <x:t/>
        </x:is>
      </x:c>
      <x:c t="inlineStr" r="H22"/>
      <x:c t="inlineStr" r="I22">
        <x:is>
          <x:t>Postar</x:t>
        </x:is>
      </x:c>
      <x:c t="inlineStr" r="J22">
        <x:is>
          <x:t>Texto,Álbum</x:t>
        </x:is>
      </x:c>
      <x:c t="inlineStr" r="K22"/>
      <x:c r="L22">
        <x:f>HYPERLINK("https://www.instagram.com/p/DcwAMgolIFi/")</x:f>
      </x:c>
      <x:c t="inlineStr" r="M22">
        <x:is>
          <x:t>Negativo</x:t>
        </x:is>
      </x:c>
      <x:c t="inlineStr" r="N22">
        <x:is>
          <x:t>BCharts</x:t>
        </x:is>
      </x:c>
      <x:c t="inlineStr" r="O22">
        <x:is>
          <x:t>bchartsnet</x:t>
        </x:is>
      </x:c>
      <x:c r="P22">
        <x:f>HYPERLINK("https://www.instagram.com/bchartsnet/")</x:f>
      </x:c>
      <x:c t="n" r="Q22">
        <x:v>187319</x:v>
      </x:c>
      <x:c t="inlineStr" r="R22"/>
      <x:c t="inlineStr" r="S22"/>
      <x:c t="inlineStr" r="T22">
        <x:is>
          <x:t>instagram.com</x:t>
        </x:is>
      </x:c>
      <x:c t="inlineStr" r="U22">
        <x:is>
          <x:t>BCharts</x:t>
        </x:is>
      </x:c>
      <x:c r="V22">
        <x:f>HYPERLINK("https://www.instagram.com/bchartsnet/")</x:f>
      </x:c>
      <x:c t="n" r="W22">
        <x:v>187319</x:v>
      </x:c>
      <x:c t="inlineStr" r="X22"/>
      <x:c t="inlineStr" r="Y22">
        <x:is>
          <x:t>Rede social</x:t>
        </x:is>
      </x:c>
      <x:c t="inlineStr" r="Z22">
        <x:is>
          <x:t>Português</x:t>
        </x:is>
      </x:c>
      <x:c t="inlineStr" r="AA22"/>
      <x:c t="inlineStr" r="AB22"/>
      <x:c t="inlineStr" r="AC22"/>
      <x:c t="inlineStr" r="AD22"/>
      <x:c t="n" r="AE22">
        <x:v>935</x:v>
      </x:c>
      <x:c t="n" r="AF22">
        <x:v>1121</x:v>
      </x:c>
      <x:c t="n" r="AG22">
        <x:v>935</x:v>
      </x:c>
      <x:c t="inlineStr" r="AH22"/>
      <x:c t="inlineStr" r="AI22"/>
      <x:c t="inlineStr" r="AJ22"/>
      <x:c t="inlineStr" r="AK22"/>
      <x:c t="inlineStr" r="AL22"/>
      <x:c t="inlineStr" r="AM22"/>
      <x:c t="inlineStr" r="AN22"/>
      <x:c t="n" r="AO22">
        <x:v>22</x:v>
      </x:c>
      <x:c t="n" r="AP22">
        <x:v>164</x:v>
      </x:c>
      <x:c t="inlineStr" r="AQ22"/>
      <x:c t="inlineStr" r="AR22"/>
      <x:c t="inlineStr" r="AS22"/>
      <x:c t="inlineStr" r="AT22"/>
      <x:c t="n" r="AU22">
        <x:v>187319</x:v>
      </x:c>
      <x:c t="inlineStr" r="AV22"/>
      <x:c t="inlineStr" r="AW22">
        <x:is>
          <x:t/>
        </x:is>
      </x:c>
      <x:c t="inlineStr" r="AX22">
        <x:is>
          <x:t>text,clothing,shirt</x:t>
        </x:is>
      </x:c>
      <x:c t="inlineStr" r="AY22">
        <x:is>
          <x:t/>
        </x:is>
      </x:c>
      <x:c t="inlineStr" r="AZ22">
        <x:is>
          <x:t>man</x:t>
        </x:is>
      </x:c>
      <x:c t="inlineStr" r="BA22">
        <x:is>
          <x:t/>
        </x:is>
      </x:c>
      <x:c t="inlineStr" r="BB22">
        <x:is>
          <x:t>ILLUSTRATION</x:t>
        </x:is>
      </x:c>
      <x:c t="inlineStr" r="BC22">
        <x:is>
          <x:t>cartoon</x:t>
        </x:is>
      </x:c>
      <x:c t="inlineStr" r="BD22">
        <x:is>
          <x:t>https://scontent-ams2-1.cdninstagram.com/v/t51.82787-15/790267932_18380123854230434_15107754936378298_n.jpg?stp=dst-jpg_e35_tt6&amp;_nc_cat=106&amp;ccb=7-5&amp;_nc_sid=18de74&amp;efg=eyJlZmdfdGFnIjoiQ0FST1VTRUxfSVRFTS5iZXN0X2ltYWdlX3VybGdlbi5DMyJ9&amp;_nc_ohc=1pDECX_RI6QQ7kNvwE0LYWV&amp;_nc_oc=AdoCYIwy0Rum6cd0yG5EcVaUrs_K_un1cFjywdz8ld6MHEoF9Vzf3QfObjM5mRTssKY&amp;_nc_zt=23&amp;_nc_ht=scontent-ams2-1.cdninstagram.com&amp;edm=AL-3X8kEAAAA&amp;_nc_gid=zbEDLw_vG7FJIbcvdjqhgQ&amp;oh=00_AQJYYqE4ttFkJBwOHQvzOd0LGOdbTqlG_Y83SlQKtRdoSw&amp;oe=6A9CD888</x:t>
        </x:is>
      </x:c>
      <x:c t="inlineStr" r="BE22">
        <x:is>
          <x:t/>
        </x:is>
      </x:c>
      <x:c t="inlineStr" r="BF22">
        <x:is>
          <x:t>Não</x:t>
        </x:is>
      </x:c>
      <x:c t="inlineStr" r="BG22"/>
      <x:c t="inlineStr" r="BH22">
        <x:is>
          <x:t>Acontecimento</x:t>
        </x:is>
      </x:c>
      <x:c t="inlineStr" r="BI22">
        <x:is>
          <x:t>Promoção</x:t>
        </x:is>
      </x:c>
      <x:c t="inlineStr" r="BJ22">
        <x:is>
          <x:t>O Rock in Rio começa semana que vem e por aqui a ansiedade já está ON!</x:t>
        </x:is>
      </x:c>
      <x:c t="inlineStr" r="BK22">
        <x:is>
          <x:t>Campanha: Parada Completa,Ipiranga,Rock In Rio</x:t>
        </x:is>
      </x:c>
      <x:c t="inlineStr" r="BL22"/>
      <x:c t="inlineStr" r="BM22"/>
      <x:c t="inlineStr" r="BN22"/>
      <x:c t="inlineStr" r="BO22"/>
      <x:c t="inlineStr" r="BP22"/>
      <x:c t="inlineStr" r="BQ22"/>
      <x:c t="inlineStr" r="BR22"/>
      <x:c t="inlineStr" r="BS22"/>
      <x:c t="inlineStr" r="BT22"/>
      <x:c t="inlineStr" r="BU22"/>
      <x:c t="inlineStr" r="BV22"/>
      <x:c t="inlineStr" r="BW22"/>
      <x:c t="inlineStr" r="BX22"/>
      <x:c t="inlineStr" r="BY22">
        <x:is>
          <x:t>Campanha: Parada Completa</x:t>
        </x:is>
      </x:c>
      <x:c t="inlineStr" r="BZ22">
        <x:is>
          <x:t>Ipiranga</x:t>
        </x:is>
      </x:c>
      <x:c t="inlineStr" r="CA22"/>
      <x:c t="inlineStr" r="CB22"/>
      <x:c t="inlineStr" r="CC22"/>
      <x:c t="inlineStr" r="CD22"/>
      <x:c t="inlineStr" r="CE22">
        <x:is>
          <x:t>Rock In Rio</x:t>
        </x:is>
      </x:c>
      <x:c t="inlineStr" r="CF22"/>
    </x:row>
    <x:row r="23">
      <x:c t="n" r="A23">
        <x:v>404549493</x:v>
      </x:c>
      <x:c t="inlineStr" r="B23">
        <x:is>
          <x:t>01.09.2026</x:t>
        </x:is>
      </x:c>
      <x:c t="inlineStr" r="C23">
        <x:is>
          <x:t>12:00</x:t>
        </x:is>
      </x:c>
      <x:c t="inlineStr" r="D23">
        <x:is>
          <x:t>01.09.2026 13:16</x:t>
        </x:is>
      </x:c>
      <x:c t="inlineStr" r="E23">
        <x:is>
          <x:t/>
        </x:is>
      </x:c>
      <x:c t="str" r="F23">
        <x:v>Sua criatividade pode te levar para o Rock in Rio acompanhado.​ 🤩
​
Para participar:​
1 - Siga o perfil do Posto Ipiranga e deixe seu perfil do Instagram aberto (para entrarmos em contato via direct).​
​
2 - Comente neste post uma frase criativa usando as palavras Ipiranga e Parada Completa.​
​
3 - Capriche! Os 100 comentários mais divertidos, selecionados pelo time do Posto Ipiranga, podem ganhar 1 par de ingressos de gramado cada.​
​
Você pode participar das 12h do dia 01/09 até as 17h do dia 02/9.​
​
Agora a parada é com você. Valendo!​
#IpirangaNoRockinRio #ParadaCompleta</x:v>
      </x:c>
      <x:c t="inlineStr" r="G23">
        <x:is>
          <x:t/>
        </x:is>
      </x:c>
      <x:c t="inlineStr" r="H23"/>
      <x:c t="inlineStr" r="I23">
        <x:is>
          <x:t>Postar</x:t>
        </x:is>
      </x:c>
      <x:c t="inlineStr" r="J23">
        <x:is>
          <x:t>Texto,Imagem</x:t>
        </x:is>
      </x:c>
      <x:c t="inlineStr" r="K23"/>
      <x:c r="L23">
        <x:f>HYPERLINK("https://www.instagram.com/p/Dcv1-E7xpNt/")</x:f>
      </x:c>
      <x:c t="inlineStr" r="M23">
        <x:is>
          <x:t>Negativo</x:t>
        </x:is>
      </x:c>
      <x:c t="inlineStr" r="N23">
        <x:is>
          <x:t>Ipiranga</x:t>
        </x:is>
      </x:c>
      <x:c t="inlineStr" r="O23">
        <x:is>
          <x:t>ipiranga</x:t>
        </x:is>
      </x:c>
      <x:c r="P23">
        <x:f>HYPERLINK("http://instagram.com/ipiranga")</x:f>
      </x:c>
      <x:c t="n" r="Q23">
        <x:v>235218</x:v>
      </x:c>
      <x:c t="inlineStr" r="R23"/>
      <x:c t="inlineStr" r="S23"/>
      <x:c t="inlineStr" r="T23">
        <x:is>
          <x:t>instagram.com</x:t>
        </x:is>
      </x:c>
      <x:c t="inlineStr" r="U23">
        <x:is>
          <x:t>Ipiranga</x:t>
        </x:is>
      </x:c>
      <x:c r="V23">
        <x:f>HYPERLINK("http://instagram.com/ipiranga")</x:f>
      </x:c>
      <x:c t="n" r="W23">
        <x:v>235218</x:v>
      </x:c>
      <x:c t="inlineStr" r="X23"/>
      <x:c t="inlineStr" r="Y23">
        <x:is>
          <x:t>Rede social</x:t>
        </x:is>
      </x:c>
      <x:c t="inlineStr" r="Z23">
        <x:is>
          <x:t>Português</x:t>
        </x:is>
      </x:c>
      <x:c t="inlineStr" r="AA23"/>
      <x:c t="inlineStr" r="AB23"/>
      <x:c t="inlineStr" r="AC23"/>
      <x:c t="inlineStr" r="AD23"/>
      <x:c t="n" r="AE23">
        <x:v>1400</x:v>
      </x:c>
      <x:c t="n" r="AF23">
        <x:v>10453</x:v>
      </x:c>
      <x:c t="n" r="AG23">
        <x:v>1400</x:v>
      </x:c>
      <x:c t="inlineStr" r="AH23"/>
      <x:c t="inlineStr" r="AI23"/>
      <x:c t="inlineStr" r="AJ23"/>
      <x:c t="inlineStr" r="AK23"/>
      <x:c t="inlineStr" r="AL23"/>
      <x:c t="inlineStr" r="AM23"/>
      <x:c t="inlineStr" r="AN23"/>
      <x:c t="n" r="AO23">
        <x:v>9053</x:v>
      </x:c>
      <x:c t="inlineStr" r="AP23"/>
      <x:c t="inlineStr" r="AQ23"/>
      <x:c t="inlineStr" r="AR23"/>
      <x:c t="inlineStr" r="AS23"/>
      <x:c t="inlineStr" r="AT23"/>
      <x:c t="n" r="AU23">
        <x:v>235218</x:v>
      </x:c>
      <x:c t="inlineStr" r="AV23"/>
      <x:c t="inlineStr" r="AW23">
        <x:is>
          <x:t>Ipimax</x:t>
        </x:is>
      </x:c>
      <x:c t="inlineStr" r="AX23">
        <x:is>
          <x:t>text,musical instrument,guitar,poster,clothing,shirt</x:t>
        </x:is>
      </x:c>
      <x:c t="inlineStr" r="AY23">
        <x:is>
          <x:t/>
        </x:is>
      </x:c>
      <x:c t="inlineStr" r="AZ23">
        <x:is>
          <x:t>man,music artist</x:t>
        </x:is>
      </x:c>
      <x:c t="inlineStr" r="BA23">
        <x:is>
          <x:t>standing,play</x:t>
        </x:is>
      </x:c>
      <x:c t="inlineStr" r="BB23">
        <x:is>
          <x:t>ILLUSTRATION</x:t>
        </x:is>
      </x:c>
      <x:c t="inlineStr" r="BC23">
        <x:is>
          <x:t>advertising</x:t>
        </x:is>
      </x:c>
      <x:c t="inlineStr" r="BD23">
        <x:is>
          <x:t>https://scontent-sin2-1.cdninstagram.com/v/t51.82787-15/791144220_18624427297010375_8365301847851986101_n.jpg?stp=dst-jpg_e35_p1080x1080_tt6&amp;_nc_cat=102&amp;ig_cache_key=Mzk3NjYzNDM1ODM2MTkyMDM2NQ%3D%3D.3-ccb7-5&amp;ccb=7-5&amp;_nc_sid=58cdad&amp;efg=eyJ2ZW5jb2RlX3RhZyI6IkZFRUQueHBpZHMuMTQ0MC5zZHIucmVndWxhcl9waG90by5DMyJ9&amp;_nc_ohc=WmmchM-O5rgQ7kNvwHzkr6v&amp;_nc_oc=AdoqgZJZW4P0LEwgmlHVB_vLoLscUfl7OCS2pRWGSfAHqAAmSkE7xiMm0QLMXptFAYM&amp;_nc_zt=23&amp;_nc_ht=scontent-sin2-1.cdninstagram.com&amp;_nc_gid=L6H3anC5dcDNvX46wge0Tw&amp;_nc_ss=70a8c&amp;oh=00_AQJvWS0u7sEbfoBH9Nies9z5fCPjF911KnpW90X69oaf6g&amp;oe=6A9CDCAC</x:t>
        </x:is>
      </x:c>
      <x:c t="inlineStr" r="BE23">
        <x:is>
          <x:t/>
        </x:is>
      </x:c>
      <x:c t="inlineStr" r="BF23">
        <x:is>
          <x:t>Não</x:t>
        </x:is>
      </x:c>
      <x:c t="inlineStr" r="BG23"/>
      <x:c t="inlineStr" r="BH23">
        <x:is>
          <x:t/>
        </x:is>
      </x:c>
      <x:c t="inlineStr" r="BI23">
        <x:is>
          <x:t>Giveaway</x:t>
        </x:is>
      </x:c>
      <x:c t="inlineStr" r="BJ23">
        <x:is>
          <x:t>O Rock in Rio começa semana que vem e por aqui a ansiedade já está ON!</x:t>
        </x:is>
      </x:c>
      <x:c t="inlineStr" r="BK23">
        <x:is>
          <x:t>Ipiranga - Contas Oficiais,Campanha: Parada Completa,Ipiranga,Rock In Rio</x:t>
        </x:is>
      </x:c>
      <x:c t="inlineStr" r="BL23"/>
      <x:c t="inlineStr" r="BM23"/>
      <x:c t="inlineStr" r="BN23"/>
      <x:c t="inlineStr" r="BO23"/>
      <x:c t="inlineStr" r="BP23"/>
      <x:c t="inlineStr" r="BQ23">
        <x:is>
          <x:t>Ipiranga - Contas Oficiais</x:t>
        </x:is>
      </x:c>
      <x:c t="inlineStr" r="BR23"/>
      <x:c t="inlineStr" r="BS23"/>
      <x:c t="inlineStr" r="BT23"/>
      <x:c t="inlineStr" r="BU23"/>
      <x:c t="inlineStr" r="BV23"/>
      <x:c t="inlineStr" r="BW23"/>
      <x:c t="inlineStr" r="BX23"/>
      <x:c t="inlineStr" r="BY23">
        <x:is>
          <x:t>Campanha: Parada Completa</x:t>
        </x:is>
      </x:c>
      <x:c t="inlineStr" r="BZ23">
        <x:is>
          <x:t>Ipiranga</x:t>
        </x:is>
      </x:c>
      <x:c t="inlineStr" r="CA23"/>
      <x:c t="inlineStr" r="CB23"/>
      <x:c t="inlineStr" r="CC23"/>
      <x:c t="inlineStr" r="CD23"/>
      <x:c t="inlineStr" r="CE23">
        <x:is>
          <x:t>Rock In Rio</x:t>
        </x:is>
      </x:c>
      <x:c t="inlineStr" r="CF23"/>
    </x:row>
    <x:row r="24">
      <x:c t="n" r="A24">
        <x:v>691368998</x:v>
      </x:c>
      <x:c t="inlineStr" r="B24">
        <x:is>
          <x:t>01.09.2026</x:t>
        </x:is>
      </x:c>
      <x:c t="inlineStr" r="C24">
        <x:is>
          <x:t>11:56</x:t>
        </x:is>
      </x:c>
      <x:c t="inlineStr" r="D24">
        <x:is>
          <x:t>01.09.2026 12:47</x:t>
        </x:is>
      </x:c>
      <x:c t="inlineStr" r="E24">
        <x:is>
          <x:t/>
        </x:is>
      </x:c>
      <x:c t="str" r="F24">
        <x:v>Pra você que ainda não tem seu ingresso ou quer aproveitar mais algum dia de show, precisa ficar de olho nas ações de marcas como a ipiranga e a timbrasil estão fazendo.
#rockinrio #foryou #rock #festival</x:v>
      </x:c>
      <x:c t="inlineStr" r="G24">
        <x:is>
          <x:t/>
        </x:is>
      </x:c>
      <x:c t="inlineStr" r="H24"/>
      <x:c t="inlineStr" r="I24">
        <x:is>
          <x:t>Postar</x:t>
        </x:is>
      </x:c>
      <x:c t="inlineStr" r="J24">
        <x:is>
          <x:t>Texto,Vídeo</x:t>
        </x:is>
      </x:c>
      <x:c t="inlineStr" r="K24">
        <x:is>
          <x:t>InstagramReels</x:t>
        </x:is>
      </x:c>
      <x:c r="L24">
        <x:f>HYPERLINK("https://www.instagram.com/reel/Dcv6dAax_LJ/")</x:f>
      </x:c>
      <x:c t="inlineStr" r="M24">
        <x:is>
          <x:t>Negativo</x:t>
        </x:is>
      </x:c>
      <x:c t="inlineStr" r="N24">
        <x:is>
          <x:t>Anthony Pereira | Vida real e Humor</x:t>
        </x:is>
      </x:c>
      <x:c t="inlineStr" r="O24">
        <x:is>
          <x:t>anthony.apereira</x:t>
        </x:is>
      </x:c>
      <x:c r="P24">
        <x:f>HYPERLINK("https://www.instagram.com/anthony.apereira/")</x:f>
      </x:c>
      <x:c t="n" r="Q24">
        <x:v>21164</x:v>
      </x:c>
      <x:c t="inlineStr" r="R24">
        <x:is>
          <x:t>Homem</x:t>
        </x:is>
      </x:c>
      <x:c t="inlineStr" r="S24"/>
      <x:c t="inlineStr" r="T24">
        <x:is>
          <x:t>instagram.com</x:t>
        </x:is>
      </x:c>
      <x:c t="inlineStr" r="U24">
        <x:is>
          <x:t>Anthony Pereira | Vida real e Humor</x:t>
        </x:is>
      </x:c>
      <x:c r="V24">
        <x:f>HYPERLINK("https://www.instagram.com/anthony.apereira/")</x:f>
      </x:c>
      <x:c t="n" r="W24">
        <x:v>21164</x:v>
      </x:c>
      <x:c t="inlineStr" r="X24"/>
      <x:c t="inlineStr" r="Y24">
        <x:is>
          <x:t>Rede social</x:t>
        </x:is>
      </x:c>
      <x:c t="inlineStr" r="Z24">
        <x:is>
          <x:t>Português</x:t>
        </x:is>
      </x:c>
      <x:c t="inlineStr" r="AA24"/>
      <x:c t="inlineStr" r="AB24"/>
      <x:c t="inlineStr" r="AC24"/>
      <x:c t="inlineStr" r="AD24"/>
      <x:c t="n" r="AE24">
        <x:v>44</x:v>
      </x:c>
      <x:c t="n" r="AF24">
        <x:v>69</x:v>
      </x:c>
      <x:c t="n" r="AG24">
        <x:v>44</x:v>
      </x:c>
      <x:c t="inlineStr" r="AH24"/>
      <x:c t="inlineStr" r="AI24"/>
      <x:c t="inlineStr" r="AJ24"/>
      <x:c t="inlineStr" r="AK24"/>
      <x:c t="inlineStr" r="AL24"/>
      <x:c t="inlineStr" r="AM24"/>
      <x:c t="inlineStr" r="AN24"/>
      <x:c t="n" r="AO24">
        <x:v>15</x:v>
      </x:c>
      <x:c t="n" r="AP24">
        <x:v>10</x:v>
      </x:c>
      <x:c t="n" r="AQ24">
        <x:v>868</x:v>
      </x:c>
      <x:c t="inlineStr" r="AR24"/>
      <x:c t="inlineStr" r="AS24"/>
      <x:c t="inlineStr" r="AT24"/>
      <x:c t="n" r="AU24">
        <x:v>21164</x:v>
      </x:c>
      <x:c t="inlineStr" r="AV24"/>
      <x:c t="inlineStr" r="AW24"/>
      <x:c t="inlineStr" r="AX24"/>
      <x:c t="inlineStr" r="AY24"/>
      <x:c t="inlineStr" r="AZ24"/>
      <x:c t="inlineStr" r="BA24"/>
      <x:c t="inlineStr" r="BB24"/>
      <x:c t="inlineStr" r="BC24"/>
      <x:c t="inlineStr" r="BD24"/>
      <x:c t="inlineStr" r="BE24">
        <x:is>
          <x:t/>
        </x:is>
      </x:c>
      <x:c t="inlineStr" r="BF24">
        <x:is>
          <x:t>Não</x:t>
        </x:is>
      </x:c>
      <x:c t="inlineStr" r="BG24"/>
      <x:c t="inlineStr" r="BH24">
        <x:is>
          <x:t/>
        </x:is>
      </x:c>
      <x:c t="inlineStr" r="BI24">
        <x:is>
          <x:t>WOM</x:t>
        </x:is>
      </x:c>
      <x:c t="inlineStr" r="BJ24"/>
      <x:c t="inlineStr" r="BK24">
        <x:is>
          <x:t>Ipiranga,Rock In Rio</x:t>
        </x:is>
      </x:c>
      <x:c t="inlineStr" r="BL24"/>
      <x:c t="inlineStr" r="BM24"/>
      <x:c t="inlineStr" r="BN24"/>
      <x:c t="inlineStr" r="BO24"/>
      <x:c t="inlineStr" r="BP24"/>
      <x:c t="inlineStr" r="BQ24"/>
      <x:c t="inlineStr" r="BR24"/>
      <x:c t="inlineStr" r="BS24"/>
      <x:c t="inlineStr" r="BT24"/>
      <x:c t="inlineStr" r="BU24"/>
      <x:c t="inlineStr" r="BV24"/>
      <x:c t="inlineStr" r="BW24"/>
      <x:c t="inlineStr" r="BX24"/>
      <x:c t="inlineStr" r="BY24"/>
      <x:c t="inlineStr" r="BZ24">
        <x:is>
          <x:t>Ipiranga</x:t>
        </x:is>
      </x:c>
      <x:c t="inlineStr" r="CA24"/>
      <x:c t="inlineStr" r="CB24"/>
      <x:c t="inlineStr" r="CC24"/>
      <x:c t="inlineStr" r="CD24"/>
      <x:c t="inlineStr" r="CE24">
        <x:is>
          <x:t>Rock In Rio</x:t>
        </x:is>
      </x:c>
      <x:c t="inlineStr" r="CF24"/>
    </x:row>
    <x:row r="25">
      <x:c t="n" r="A25">
        <x:v>1755161702</x:v>
      </x:c>
      <x:c t="inlineStr" r="B25">
        <x:is>
          <x:t>01.09.2026</x:t>
        </x:is>
      </x:c>
      <x:c t="inlineStr" r="C25">
        <x:is>
          <x:t>11:34</x:t>
        </x:is>
      </x:c>
      <x:c t="inlineStr" r="D25">
        <x:is>
          <x:t>01.09.2026 16:41</x:t>
        </x:is>
      </x:c>
      <x:c t="inlineStr" r="E25">
        <x:is>
          <x:t/>
        </x:is>
      </x:c>
      <x:c t="str" r="F25">
        <x:v>NINGUÉM QUER FICAR DE FORA! Pedro Sampaio e Ipiranga realizaram uma ação para distribuir ingresso para o Rock In Rio e o resultado foi o CAOS nos postos da Barra da Tijuca, no Rio de Janeiro. 🤯
#PedroSampaio #Sampaiers #Ipiranga</x:v>
      </x:c>
      <x:c t="inlineStr" r="G25">
        <x:is>
          <x:t/>
        </x:is>
      </x:c>
      <x:c t="inlineStr" r="H25"/>
      <x:c t="inlineStr" r="I25">
        <x:is>
          <x:t>Postar</x:t>
        </x:is>
      </x:c>
      <x:c t="inlineStr" r="J25">
        <x:is>
          <x:t>Texto,Vídeo</x:t>
        </x:is>
      </x:c>
      <x:c t="inlineStr" r="K25"/>
      <x:c r="L25">
        <x:f>HYPERLINK("https://www.instagram.com/p/Dcv4nLoPcHY/")</x:f>
      </x:c>
      <x:c t="inlineStr" r="M25">
        <x:is>
          <x:t>Negativo</x:t>
        </x:is>
      </x:c>
      <x:c t="inlineStr" r="N25">
        <x:is>
          <x:t>Central Pedro Sampaio</x:t>
        </x:is>
      </x:c>
      <x:c t="inlineStr" r="O25">
        <x:is>
          <x:t>sampaiers</x:t>
        </x:is>
      </x:c>
      <x:c r="P25">
        <x:f>HYPERLINK("http://instagram.com/sampaiers")</x:f>
      </x:c>
      <x:c t="n" r="Q25">
        <x:v>517312</x:v>
      </x:c>
      <x:c t="inlineStr" r="R25"/>
      <x:c t="inlineStr" r="S25"/>
      <x:c t="inlineStr" r="T25">
        <x:is>
          <x:t>instagram.com</x:t>
        </x:is>
      </x:c>
      <x:c t="inlineStr" r="U25">
        <x:is>
          <x:t>Central Pedro Sampaio</x:t>
        </x:is>
      </x:c>
      <x:c r="V25">
        <x:f>HYPERLINK("http://instagram.com/sampaiers")</x:f>
      </x:c>
      <x:c t="n" r="W25">
        <x:v>517312</x:v>
      </x:c>
      <x:c t="inlineStr" r="X25"/>
      <x:c t="inlineStr" r="Y25">
        <x:is>
          <x:t>Rede social</x:t>
        </x:is>
      </x:c>
      <x:c t="inlineStr" r="Z25">
        <x:is>
          <x:t>Português</x:t>
        </x:is>
      </x:c>
      <x:c t="inlineStr" r="AA25"/>
      <x:c t="inlineStr" r="AB25"/>
      <x:c t="inlineStr" r="AC25"/>
      <x:c t="inlineStr" r="AD25"/>
      <x:c t="n" r="AE25">
        <x:v>750</x:v>
      </x:c>
      <x:c t="n" r="AF25">
        <x:v>779</x:v>
      </x:c>
      <x:c t="n" r="AG25">
        <x:v>750</x:v>
      </x:c>
      <x:c t="inlineStr" r="AH25"/>
      <x:c t="inlineStr" r="AI25"/>
      <x:c t="inlineStr" r="AJ25"/>
      <x:c t="inlineStr" r="AK25"/>
      <x:c t="inlineStr" r="AL25"/>
      <x:c t="inlineStr" r="AM25"/>
      <x:c t="inlineStr" r="AN25"/>
      <x:c t="n" r="AO25">
        <x:v>29</x:v>
      </x:c>
      <x:c t="inlineStr" r="AP25"/>
      <x:c t="inlineStr" r="AQ25"/>
      <x:c t="inlineStr" r="AR25"/>
      <x:c t="inlineStr" r="AS25"/>
      <x:c t="inlineStr" r="AT25"/>
      <x:c t="n" r="AU25">
        <x:v>517312</x:v>
      </x:c>
      <x:c t="inlineStr" r="AV25"/>
      <x:c t="inlineStr" r="AW25">
        <x:is>
          <x:t/>
        </x:is>
      </x:c>
      <x:c t="inlineStr" r="AX25">
        <x:is>
          <x:t>text,car,tree,plant,vehicle,building,facial hair,clothing,commercial building,shirt,signage</x:t>
        </x:is>
      </x:c>
      <x:c t="inlineStr" r="AY25">
        <x:is>
          <x:t>street,outdoor</x:t>
        </x:is>
      </x:c>
      <x:c t="inlineStr" r="AZ25">
        <x:is>
          <x:t>man</x:t>
        </x:is>
      </x:c>
      <x:c t="inlineStr" r="BA25">
        <x:is>
          <x:t>standing</x:t>
        </x:is>
      </x:c>
      <x:c t="inlineStr" r="BB25">
        <x:is>
          <x:t>ILLUSTRATION</x:t>
        </x:is>
      </x:c>
      <x:c t="inlineStr" r="BC25">
        <x:is>
          <x:t>photo caption</x:t>
        </x:is>
      </x:c>
      <x:c t="inlineStr" r="BD25">
        <x:is>
          <x:t>https://scontent-iad6-1.cdninstagram.com/v/t51.82787-15/788639737_18096711794638636_1332030359856354824_n.jpg?stp=c0.458.1179.1179a_dst-jpg_e35_s1080x1080_sh2.08_tt6&amp;_nc_cat=106&amp;ig_cache_key=Mzk3NjY0NTk3OTE0MTk0Nzg2NDE4MDk2NzExNzg4NjM4NjM2.3-ccb7-5&amp;ccb=7-5&amp;_nc_sid=58cdad&amp;efg=eyJ2ZW5jb2RlX3RhZyI6IkNMSVBTLnhwaWRzLjExNzkuc2RyLnZpZGVvX2RlZmF1bHRfY292ZXJfZnJhbWUuQzMifQ%3D%3D&amp;_nc_ohc=HBuqEU35qfMQ7kNvwEEvn04&amp;_nc_oc=AdoI4YsBxw19AIyjic1IGYLBZl8QTeGToTIzXcJ5h-vQ7sSggQlTutRICfaavgIteg2So4geCwy7dRKzqlrVoW3j&amp;_nc_zt=23&amp;_nc_ht=scontent-iad6-1.cdninstagram.com&amp;_nc_gid=XvbqaPiJX3RFVLW80wYjYA&amp;_nc_ss=70689&amp;oh=00_AQJCXjWvwqfzIqmacyI3HgihqCnlTAlje_sG5A7VO51TXA&amp;oe=6A9CF300</x:t>
        </x:is>
      </x:c>
      <x:c t="inlineStr" r="BE25">
        <x:is>
          <x:t/>
        </x:is>
      </x:c>
      <x:c t="inlineStr" r="BF25">
        <x:is>
          <x:t>Não</x:t>
        </x:is>
      </x:c>
      <x:c t="inlineStr" r="BG25"/>
      <x:c t="inlineStr" r="BH25">
        <x:is>
          <x:t>Acontecimento</x:t>
        </x:is>
      </x:c>
      <x:c t="inlineStr" r="BI25">
        <x:is>
          <x:t/>
        </x:is>
      </x:c>
      <x:c t="inlineStr" r="BJ25">
        <x:is>
          <x:t>O Rock in Rio começa semana que vem e por aqui a ansiedade já está ON!</x:t>
        </x:is>
      </x:c>
      <x:c t="inlineStr" r="BK25">
        <x:is>
          <x:t>Ipiranga,Rock In Rio</x:t>
        </x:is>
      </x:c>
      <x:c t="inlineStr" r="BL25"/>
      <x:c t="inlineStr" r="BM25"/>
      <x:c t="inlineStr" r="BN25"/>
      <x:c t="inlineStr" r="BO25"/>
      <x:c t="inlineStr" r="BP25"/>
      <x:c t="inlineStr" r="BQ25"/>
      <x:c t="inlineStr" r="BR25"/>
      <x:c t="inlineStr" r="BS25"/>
      <x:c t="inlineStr" r="BT25"/>
      <x:c t="inlineStr" r="BU25"/>
      <x:c t="inlineStr" r="BV25"/>
      <x:c t="inlineStr" r="BW25"/>
      <x:c t="inlineStr" r="BX25"/>
      <x:c t="inlineStr" r="BY25"/>
      <x:c t="inlineStr" r="BZ25">
        <x:is>
          <x:t>Ipiranga</x:t>
        </x:is>
      </x:c>
      <x:c t="inlineStr" r="CA25"/>
      <x:c t="inlineStr" r="CB25"/>
      <x:c t="inlineStr" r="CC25"/>
      <x:c t="inlineStr" r="CD25"/>
      <x:c t="inlineStr" r="CE25">
        <x:is>
          <x:t>Rock In Rio</x:t>
        </x:is>
      </x:c>
      <x:c t="inlineStr" r="CF25"/>
    </x:row>
    <x:row r="26">
      <x:c t="n" r="A26">
        <x:v>2902211705</x:v>
      </x:c>
      <x:c t="inlineStr" r="B26">
        <x:is>
          <x:t>01.09.2026</x:t>
        </x:is>
      </x:c>
      <x:c t="inlineStr" r="C26">
        <x:is>
          <x:t>10:56</x:t>
        </x:is>
      </x:c>
      <x:c t="inlineStr" r="D26">
        <x:is>
          <x:t>01.09.2026 11:00</x:t>
        </x:is>
      </x:c>
      <x:c t="inlineStr" r="E26">
        <x:is>
          <x:t/>
        </x:is>
      </x:c>
      <x:c t="str" r="F26">
        <x:v>Bolsa Família: pagamentos de setembro começam no dia 17. Veja calendário   .
Bolsa Família: pagamentos de setembro começam no dia 17. Veja calendário
O pagamento do Bolsa Família em setembro vai começar no dia 17, para os beneficiários com NIS de final 1. Os repasses de cada mês são feitos de forma escalonada pela Caixa Econômica Federal, conforme o último dígito do Número de Identificação Social. O cronograma deste mês terminará em 30 de setembro, para quem tem NIS de final 0.
Simples Nacional: Prazo para empresas aderirem começa nesta terça-feira
Vai abastecer o carro? Clientes da Ipiranga que gastarem R$ 200 podem ganhar ingresso para o Rock in Rio
Calendário completo
Final do NIS: 1 - pagamento em 17/9
Final do NIS: 2 - pagamento em 18/9
Final do NIS: 3 - pagamento em 21/9
Final do NIS: 4 - pagamento em 22/9
Final do NIS: 5 - pagamento em 23/9
Final do NIS: 6 - pagamento em 24/9
Final do NIS: 7 - pagamento em 25/9
Final do NIS: 8 - pagamento em 28/9
Final do NIS: 9 - pagamento em 29/9
Final do NIS: 0 - pagamento em 30/9
Benefícios
Os beneficiários do Bolsa Família recebem o mínimo de R$ 600 por família e podem ter acréscimos de acordo com a composição familiar. Por exemplo, o Benefício Variável Familiar Nutriz paga seis parcelas de R$ 50 a mães de bebês de até 6 meses de idade, para garantir a alimentação da criança. Além disso, há acréscimo de R$ 50 a famílias com gestantes e filhos de 7 a 18 anos e outro, de R$ 150, a famílias com crianças de até 6 anos.
Quem pode receber?
A principal regra para receber o benefício é ter renda mensal familiar de até R$ 218 por pessoa da casa. Para se enquadrar no programa, é preciso somar a renda total e dividir pelo número de pessoas. Caso o valor fique abaixo dos R$ 218, a família está elegível ao Bolsa Família.
Por exemplo, se um integrante da família recebe um salário mínimo (R$ 1.621), e nessa família há oito pessoas, a renda de cada um é de R$ 202,62. Como está abaixo do limite de R$ 218, ela tem direito a ingressar no programa social.
Os beneficiários também precisam:
Manter crianças e adolescentes na escola
Fazer o acompanhamento pré-natal (no caso de gestantes)
Manter as carteiras de vacinação atualizadas
"O MDS reforça a importância de manter os dados do Cadastro Único (CadÚnico) atualizados. As informações devem ser revisadas sempre que houver alteração na composição familiar, endereço, renda ou na situação escolar de crianças e adolescentes. A atualização deve ocorrer, no máximo, a cada 24 meses para evitar a interrupção do pagamento do benefício", informa o ministério.
Onde se cadastrar?
Para se tornar beneficiário, é preciso se inscrever no Cadastro Único (CadÚnico) — que garante a inclusão de famílias de baixa renda em programas sociais do governo federal. A inscrição pode ser feita nos Centros de Referência da Assistência Social (Cras) das prefeituras.
Estar no Cadastro Único, porém, não significa a entrada automática no Bolsa Família. O cadastro é pré-requisito para que a inscrição seja avaliada.
Como sacar o dinheiro?
Os beneficiários podem movimentar os valores pelo aplicativo Caixa Tem, não sendo necessário ir até uma agência da Caixa Econômica Federal para realizar o saque.
Eles também podem utilizar o cartão virtual do Caixa Tem para realizar compras nos estabelecimentos comerciais por meio da função de débito e realizar saques em terminais de autoatendimento, casas lotéricas e correspondentes bancários, além dos caixas das agências.
Informações
Em casos de dúvidas sobre o programa, o beneficiário pode consultar o Disque Social 121. Também é possível acionar o canal de atendimento da Caixa, por meio do número 111. Ainda há os aplicativos do Bolsa Família e da Caixa, disponíveis para download gratuito.
http://dlvr.it/TVGk4z</x:v>
      </x:c>
      <x:c t="inlineStr" r="G26">
        <x:is>
          <x:t/>
        </x:is>
      </x:c>
      <x:c t="inlineStr" r="H26"/>
      <x:c t="inlineStr" r="I26">
        <x:is>
          <x:t>Postar</x:t>
        </x:is>
      </x:c>
      <x:c t="inlineStr" r="J26">
        <x:is>
          <x:t>Texto,Link</x:t>
        </x:is>
      </x:c>
      <x:c t="inlineStr" r="K26"/>
      <x:c r="L26">
        <x:f>HYPERLINK("https://bsky.app/profile/jornal-extra.bsky.social/post/3muhl7g7tdz2q")</x:f>
      </x:c>
      <x:c t="inlineStr" r="M26">
        <x:is>
          <x:t>Negativo</x:t>
        </x:is>
      </x:c>
      <x:c t="inlineStr" r="N26">
        <x:is>
          <x:t>Jornal Extra</x:t>
        </x:is>
      </x:c>
      <x:c t="inlineStr" r="O26">
        <x:is>
          <x:t>jornal-extra.bsky.social</x:t>
        </x:is>
      </x:c>
      <x:c r="P26">
        <x:f>HYPERLINK("https://bsky.app/profile/jornal-extra.bsky.social")</x:f>
      </x:c>
      <x:c t="n" r="Q26">
        <x:v>7832</x:v>
      </x:c>
      <x:c t="inlineStr" r="R26"/>
      <x:c t="inlineStr" r="S26"/>
      <x:c t="inlineStr" r="T26">
        <x:is>
          <x:t>bsky.app</x:t>
        </x:is>
      </x:c>
      <x:c t="inlineStr" r="U26"/>
      <x:c t="inlineStr" r="V26"/>
      <x:c t="inlineStr" r="W26"/>
      <x:c t="inlineStr" r="X26"/>
      <x:c t="inlineStr" r="Y26">
        <x:is>
          <x:t>Rede social</x:t>
        </x:is>
      </x:c>
      <x:c t="inlineStr" r="Z26">
        <x:is>
          <x:t>Português</x:t>
        </x:is>
      </x:c>
      <x:c t="inlineStr" r="AA26"/>
      <x:c t="inlineStr" r="AB26"/>
      <x:c t="inlineStr" r="AC26"/>
      <x:c t="inlineStr" r="AD26"/>
      <x:c t="n" r="AE26">
        <x:v>0</x:v>
      </x:c>
      <x:c t="n" r="AF26">
        <x:v>0</x:v>
      </x:c>
      <x:c t="n" r="AG26">
        <x:v>0</x:v>
      </x:c>
      <x:c t="inlineStr" r="AH26"/>
      <x:c t="inlineStr" r="AI26"/>
      <x:c t="inlineStr" r="AJ26"/>
      <x:c t="inlineStr" r="AK26"/>
      <x:c t="inlineStr" r="AL26"/>
      <x:c t="inlineStr" r="AM26"/>
      <x:c t="inlineStr" r="AN26"/>
      <x:c t="n" r="AO26">
        <x:v>0</x:v>
      </x:c>
      <x:c t="n" r="AP26">
        <x:v>0</x:v>
      </x:c>
      <x:c t="inlineStr" r="AQ26"/>
      <x:c t="inlineStr" r="AR26"/>
      <x:c t="inlineStr" r="AS26"/>
      <x:c t="n" r="AT26">
        <x:v>0</x:v>
      </x:c>
      <x:c t="n" r="AU26">
        <x:v>7832</x:v>
      </x:c>
      <x:c t="inlineStr" r="AV26"/>
      <x:c t="inlineStr" r="AW26">
        <x:is>
          <x:t/>
        </x:is>
      </x:c>
      <x:c t="inlineStr" r="AX26">
        <x:is>
          <x:t>finger,payment card,skin,text,nail,wrist,emblem</x:t>
        </x:is>
      </x:c>
      <x:c t="inlineStr" r="AY26">
        <x:is>
          <x:t/>
        </x:is>
      </x:c>
      <x:c t="inlineStr" r="AZ26">
        <x:is>
          <x:t/>
        </x:is>
      </x:c>
      <x:c t="inlineStr" r="BA26">
        <x:is>
          <x:t/>
        </x:is>
      </x:c>
      <x:c t="inlineStr" r="BB26">
        <x:is>
          <x:t>PHOTO</x:t>
        </x:is>
      </x:c>
      <x:c t="inlineStr" r="BC26"/>
      <x:c r="BD26">
        <x:f>HYPERLINK("https://cdn.bsky.app/img/feed_thumbnail/plain/did:plc:ppgqbc24yvwdifkpo6kvvrlu/bafkreieoikvcgdrdsjxwsu4scxizs5n4v6khpm47lgwvmifv3pv6dmtkgy")</x:f>
      </x:c>
      <x:c t="inlineStr" r="BE26">
        <x:is>
          <x:t/>
        </x:is>
      </x:c>
      <x:c t="inlineStr" r="BF26">
        <x:is>
          <x:t>Não</x:t>
        </x:is>
      </x:c>
      <x:c t="inlineStr" r="BG26"/>
      <x:c t="inlineStr" r="BH26">
        <x:is>
          <x:t/>
        </x:is>
      </x:c>
      <x:c t="inlineStr" r="BI26">
        <x:is>
          <x:t>Promoção</x:t>
        </x:is>
      </x:c>
      <x:c t="inlineStr" r="BJ26">
        <x:is>
          <x:t>O Rock in Rio começa semana que vem e por aqui a ansiedade já está ON!</x:t>
        </x:is>
      </x:c>
      <x:c t="inlineStr" r="BK26">
        <x:is>
          <x:t>Ipiranga,App KMV,Rock In Rio</x:t>
        </x:is>
      </x:c>
      <x:c t="inlineStr" r="BL26"/>
      <x:c t="inlineStr" r="BM26"/>
      <x:c t="inlineStr" r="BN26"/>
      <x:c t="inlineStr" r="BO26"/>
      <x:c t="inlineStr" r="BP26"/>
      <x:c t="inlineStr" r="BQ26"/>
      <x:c t="inlineStr" r="BR26"/>
      <x:c t="inlineStr" r="BS26"/>
      <x:c t="inlineStr" r="BT26"/>
      <x:c t="inlineStr" r="BU26"/>
      <x:c t="inlineStr" r="BV26"/>
      <x:c t="inlineStr" r="BW26"/>
      <x:c t="inlineStr" r="BX26"/>
      <x:c t="inlineStr" r="BY26"/>
      <x:c t="inlineStr" r="BZ26">
        <x:is>
          <x:t>Ipiranga</x:t>
        </x:is>
      </x:c>
      <x:c t="inlineStr" r="CA26"/>
      <x:c t="inlineStr" r="CB26"/>
      <x:c t="inlineStr" r="CC26"/>
      <x:c t="inlineStr" r="CD26">
        <x:is>
          <x:t>App KMV</x:t>
        </x:is>
      </x:c>
      <x:c t="inlineStr" r="CE26">
        <x:is>
          <x:t>Rock In Rio</x:t>
        </x:is>
      </x:c>
      <x:c t="inlineStr" r="CF26"/>
    </x:row>
    <x:row r="27">
      <x:c t="n" r="A27">
        <x:v>3786008349</x:v>
      </x:c>
      <x:c t="inlineStr" r="B27">
        <x:is>
          <x:t>01.09.2026</x:t>
        </x:is>
      </x:c>
      <x:c t="inlineStr" r="C27">
        <x:is>
          <x:t>07:50</x:t>
        </x:is>
      </x:c>
      <x:c t="inlineStr" r="D27">
        <x:is>
          <x:t>01.09.2026 08:02</x:t>
        </x:is>
      </x:c>
      <x:c t="inlineStr" r="E27">
        <x:is>
          <x:t/>
        </x:is>
      </x:c>
      <x:c t="str" r="F27">
        <x:v>Inspirações de looks para o Rock in Rio com vibe rock’n’roll, anos 2000 e muito estilo! 🖤🎸
Me conta, qual dia você vai pro rockinrio ? 
#rockinrio #festival #cidadedorock #rockinrio2026 #lookrockinrio</x:v>
      </x:c>
      <x:c t="inlineStr" r="G27">
        <x:is>
          <x:t/>
        </x:is>
      </x:c>
      <x:c t="inlineStr" r="H27"/>
      <x:c t="inlineStr" r="I27">
        <x:is>
          <x:t>Postar</x:t>
        </x:is>
      </x:c>
      <x:c t="inlineStr" r="J27">
        <x:is>
          <x:t>Texto,Álbum,Imagem</x:t>
        </x:is>
      </x:c>
      <x:c t="inlineStr" r="K27"/>
      <x:c r="L27">
        <x:f>HYPERLINK("https://www.instagram.com/p/DcvfNu-lhvj/")</x:f>
      </x:c>
      <x:c t="inlineStr" r="M27">
        <x:is>
          <x:t>Negativo</x:t>
        </x:is>
      </x:c>
      <x:c t="inlineStr" r="N27">
        <x:is>
          <x:t>Dayane Rocha</x:t>
        </x:is>
      </x:c>
      <x:c t="inlineStr" r="O27">
        <x:is>
          <x:t>dayaneblogueira</x:t>
        </x:is>
      </x:c>
      <x:c r="P27">
        <x:f>HYPERLINK("https://www.instagram.com/dayaneblogueira/")</x:f>
      </x:c>
      <x:c t="n" r="Q27">
        <x:v>5557</x:v>
      </x:c>
      <x:c t="inlineStr" r="R27">
        <x:is>
          <x:t>Mulher</x:t>
        </x:is>
      </x:c>
      <x:c t="inlineStr" r="S27"/>
      <x:c t="inlineStr" r="T27">
        <x:is>
          <x:t>instagram.com</x:t>
        </x:is>
      </x:c>
      <x:c t="inlineStr" r="U27">
        <x:is>
          <x:t>Dayane Rocha</x:t>
        </x:is>
      </x:c>
      <x:c r="V27">
        <x:f>HYPERLINK("https://www.instagram.com/dayaneblogueira/")</x:f>
      </x:c>
      <x:c t="n" r="W27">
        <x:v>5557</x:v>
      </x:c>
      <x:c t="inlineStr" r="X27"/>
      <x:c t="inlineStr" r="Y27">
        <x:is>
          <x:t>Rede social</x:t>
        </x:is>
      </x:c>
      <x:c t="inlineStr" r="Z27">
        <x:is>
          <x:t>Português</x:t>
        </x:is>
      </x:c>
      <x:c t="inlineStr" r="AA27"/>
      <x:c t="inlineStr" r="AB27"/>
      <x:c t="inlineStr" r="AC27"/>
      <x:c t="inlineStr" r="AD27"/>
      <x:c t="n" r="AE27">
        <x:v>5</x:v>
      </x:c>
      <x:c t="n" r="AF27">
        <x:v>5</x:v>
      </x:c>
      <x:c t="n" r="AG27">
        <x:v>5</x:v>
      </x:c>
      <x:c t="inlineStr" r="AH27"/>
      <x:c t="inlineStr" r="AI27"/>
      <x:c t="inlineStr" r="AJ27"/>
      <x:c t="inlineStr" r="AK27"/>
      <x:c t="inlineStr" r="AL27"/>
      <x:c t="inlineStr" r="AM27"/>
      <x:c t="inlineStr" r="AN27"/>
      <x:c t="n" r="AO27">
        <x:v>0</x:v>
      </x:c>
      <x:c t="inlineStr" r="AP27"/>
      <x:c t="inlineStr" r="AQ27"/>
      <x:c t="inlineStr" r="AR27"/>
      <x:c t="inlineStr" r="AS27"/>
      <x:c t="inlineStr" r="AT27"/>
      <x:c t="n" r="AU27">
        <x:v>5557</x:v>
      </x:c>
      <x:c t="inlineStr" r="AV27"/>
      <x:c t="inlineStr" r="AW27">
        <x:is>
          <x:t/>
        </x:is>
      </x:c>
      <x:c t="inlineStr" r="AX27">
        <x:is>
          <x:t>blond,clothing,bed,furniture,long hair,thigh,shorts,pillow</x:t>
        </x:is>
      </x:c>
      <x:c t="inlineStr" r="AY27">
        <x:is>
          <x:t>bedroom,fashion,indoor</x:t>
        </x:is>
      </x:c>
      <x:c t="inlineStr" r="AZ27">
        <x:is>
          <x:t>woman</x:t>
        </x:is>
      </x:c>
      <x:c t="inlineStr" r="BA27">
        <x:is>
          <x:t>standing</x:t>
        </x:is>
      </x:c>
      <x:c t="inlineStr" r="BB27">
        <x:is>
          <x:t>PHOTO</x:t>
        </x:is>
      </x:c>
      <x:c t="inlineStr" r="BC27"/>
      <x:c t="inlineStr" r="BD27">
        <x:is>
          <x:t>https://instagram.fiev22-1.fna.fbcdn.net/v/t51.82787-15/791560936_18620855551009895_6406165598857244983_n.jpg?stp=dst-jpg_e35_tt6&amp;_nc_cat=103&amp;ig_cache_key=Mzk3NjUzMDMyNjI2NjgwNDE1MA%3D%3D.3-ccb7-5&amp;ccb=7-5&amp;_nc_sid=58cdad&amp;efg=eyJ2ZW5jb2RlX3RhZyI6IkNBUk9VU0VMX0lURU0ueHBpZHMuMTIwNi5zZHIucmVndWxhcl9waG90by5DMyJ9&amp;_nc_ohc=r_wMRX4Qu4EQ7kNvwEcBZ9w&amp;_nc_oc=AdqucRs2nLmz1e3Di84cbTXr0fEHc5dlGeQ29ilhsVpqQW-Q3IJaXXXvdERjzCoPSZ4&amp;_nc_ad=z-m&amp;_nc_cid=1489&amp;_nc_zt=23&amp;_nc_ht=instagram.fiev22-1.fna&amp;_nc_gid=08zUQsoxI6RImZixyMsNPQ&amp;_nc_ss=7a22e&amp;oh=00_AQIsl0foKMkRNIFpiB40aTltFk1B-k2LXAOEasrNADCuGg&amp;oe=6A9C7EBC</x:t>
        </x:is>
      </x:c>
      <x:c t="inlineStr" r="BE27">
        <x:is>
          <x:t/>
        </x:is>
      </x:c>
      <x:c t="inlineStr" r="BF27">
        <x:is>
          <x:t>Não</x:t>
        </x:is>
      </x:c>
      <x:c t="inlineStr" r="BG27"/>
      <x:c t="inlineStr" r="BH27">
        <x:is>
          <x:t/>
        </x:is>
      </x:c>
      <x:c t="inlineStr" r="BI27">
        <x:is>
          <x:t>Promoção</x:t>
        </x:is>
      </x:c>
      <x:c t="inlineStr" r="BJ27">
        <x:is>
          <x:t>O Rock in Rio começa semana que vem e por aqui a ansiedade já está ON!</x:t>
        </x:is>
      </x:c>
      <x:c t="inlineStr" r="BK27">
        <x:is>
          <x:t>Rock In Rio</x:t>
        </x:is>
      </x:c>
      <x:c t="inlineStr" r="BL27"/>
      <x:c t="inlineStr" r="BM27"/>
      <x:c t="inlineStr" r="BN27"/>
      <x:c t="inlineStr" r="BO27"/>
      <x:c t="inlineStr" r="BP27"/>
      <x:c t="inlineStr" r="BQ27"/>
      <x:c t="inlineStr" r="BR27"/>
      <x:c t="inlineStr" r="BS27"/>
      <x:c t="inlineStr" r="BT27"/>
      <x:c t="inlineStr" r="BU27"/>
      <x:c t="inlineStr" r="BV27"/>
      <x:c t="inlineStr" r="BW27"/>
      <x:c t="inlineStr" r="BX27"/>
      <x:c t="inlineStr" r="BY27"/>
      <x:c t="inlineStr" r="BZ27"/>
      <x:c t="inlineStr" r="CA27"/>
      <x:c t="inlineStr" r="CB27"/>
      <x:c t="inlineStr" r="CC27"/>
      <x:c t="inlineStr" r="CD27"/>
      <x:c t="inlineStr" r="CE27">
        <x:is>
          <x:t>Rock In Rio</x:t>
        </x:is>
      </x:c>
      <x:c t="inlineStr" r="CF27"/>
    </x:row>
    <x:row r="28">
      <x:c t="n" r="A28">
        <x:v>3067942037</x:v>
      </x:c>
      <x:c t="inlineStr" r="B28">
        <x:is>
          <x:t>01.09.2026</x:t>
        </x:is>
      </x:c>
      <x:c t="inlineStr" r="C28">
        <x:is>
          <x:t>02:16</x:t>
        </x:is>
      </x:c>
      <x:c t="inlineStr" r="D28">
        <x:is>
          <x:t>01.09.2026 02:33</x:t>
        </x:is>
      </x:c>
      <x:c t="inlineStr" r="E28">
        <x:is>
          <x:t/>
        </x:is>
      </x:c>
      <x:c t="inlineStr" r="F28">
        <x:is>
          <x:t>@ipiranga #CompletaPraMim e me leva pra ver BEP e Calvin no @rockinrio</x:t>
        </x:is>
      </x:c>
      <x:c t="inlineStr" r="G28">
        <x:is>
          <x:t/>
        </x:is>
      </x:c>
      <x:c t="inlineStr" r="H28"/>
      <x:c t="inlineStr" r="I28">
        <x:is>
          <x:t>Postar</x:t>
        </x:is>
      </x:c>
      <x:c t="inlineStr" r="J28">
        <x:is>
          <x:t>Vídeo,Texto</x:t>
        </x:is>
      </x:c>
      <x:c t="inlineStr" r="K28"/>
      <x:c r="L28">
        <x:f>HYPERLINK("https://x.com/sisigomes/status/2094655615805030783")</x:f>
      </x:c>
      <x:c t="inlineStr" r="M28">
        <x:is>
          <x:t>Negativo</x:t>
        </x:is>
      </x:c>
      <x:c t="inlineStr" r="N28">
        <x:is>
          <x:t>Simone 🎶</x:t>
        </x:is>
      </x:c>
      <x:c t="inlineStr" r="O28">
        <x:is>
          <x:t>sisigomes</x:t>
        </x:is>
      </x:c>
      <x:c r="P28">
        <x:f>HYPERLINK("http://x.com/sisigomes")</x:f>
      </x:c>
      <x:c t="n" r="Q28">
        <x:v>99</x:v>
      </x:c>
      <x:c t="inlineStr" r="R28">
        <x:is>
          <x:t>Mulher</x:t>
        </x:is>
      </x:c>
      <x:c t="inlineStr" r="S28"/>
      <x:c t="inlineStr" r="T28">
        <x:is>
          <x:t>x.com</x:t>
        </x:is>
      </x:c>
      <x:c t="inlineStr" r="U28"/>
      <x:c t="inlineStr" r="V28"/>
      <x:c t="inlineStr" r="W28"/>
      <x:c t="inlineStr" r="X28"/>
      <x:c t="inlineStr" r="Y28">
        <x:is>
          <x:t>Rede social</x:t>
        </x:is>
      </x:c>
      <x:c t="inlineStr" r="Z28">
        <x:is>
          <x:t>Português</x:t>
        </x:is>
      </x:c>
      <x:c t="inlineStr" r="AA28">
        <x:is>
          <x:t>Brasil</x:t>
        </x:is>
      </x:c>
      <x:c t="inlineStr" r="AB28">
        <x:is>
          <x:t>São Paulo</x:t>
        </x:is>
      </x:c>
      <x:c t="inlineStr" r="AC28"/>
      <x:c t="inlineStr" r="AD28"/>
      <x:c t="inlineStr" r="AE28"/>
      <x:c t="n" r="AF28">
        <x:v>0</x:v>
      </x:c>
      <x:c t="inlineStr" r="AG28"/>
      <x:c t="inlineStr" r="AH28"/>
      <x:c t="inlineStr" r="AI28"/>
      <x:c t="inlineStr" r="AJ28"/>
      <x:c t="inlineStr" r="AK28"/>
      <x:c t="inlineStr" r="AL28"/>
      <x:c t="inlineStr" r="AM28"/>
      <x:c t="inlineStr" r="AN28"/>
      <x:c t="inlineStr" r="AO28"/>
      <x:c t="inlineStr" r="AP28"/>
      <x:c t="n" r="AQ28">
        <x:v>20</x:v>
      </x:c>
      <x:c t="inlineStr" r="AR28"/>
      <x:c t="inlineStr" r="AS28"/>
      <x:c t="inlineStr" r="AT28"/>
      <x:c t="n" r="AU28">
        <x:v>99</x:v>
      </x:c>
      <x:c t="inlineStr" r="AV28"/>
      <x:c t="inlineStr" r="AW28">
        <x:is>
          <x:t>Ipiranga</x:t>
        </x:is>
      </x:c>
      <x:c t="inlineStr" r="AX28">
        <x:is>
          <x:t>speedometer,vehicle,text,car</x:t>
        </x:is>
      </x:c>
      <x:c t="inlineStr" r="AY28">
        <x:is>
          <x:t/>
        </x:is>
      </x:c>
      <x:c t="inlineStr" r="AZ28">
        <x:is>
          <x:t/>
        </x:is>
      </x:c>
      <x:c t="inlineStr" r="BA28">
        <x:is>
          <x:t/>
        </x:is>
      </x:c>
      <x:c t="inlineStr" r="BB28">
        <x:is>
          <x:t>PHOTO</x:t>
        </x:is>
      </x:c>
      <x:c t="inlineStr" r="BC28"/>
      <x:c r="BD28">
        <x:f>HYPERLINK("https://pbs.twimg.com/amplify_video_thumb/2094655577494351872/img/6auTsl-HeSqAx2XT.jpg")</x:f>
      </x:c>
      <x:c t="inlineStr" r="BE28">
        <x:is>
          <x:t/>
        </x:is>
      </x:c>
      <x:c t="inlineStr" r="BF28">
        <x:is>
          <x:t>Não</x:t>
        </x:is>
      </x:c>
      <x:c t="inlineStr" r="BG28"/>
      <x:c t="inlineStr" r="BH28">
        <x:is>
          <x:t/>
        </x:is>
      </x:c>
      <x:c t="inlineStr" r="BI28">
        <x:is>
          <x:t>WOM</x:t>
        </x:is>
      </x:c>
      <x:c t="inlineStr" r="BJ28"/>
      <x:c t="inlineStr" r="BK28">
        <x:is>
          <x:t>Ipiranga,Rock In Rio</x:t>
        </x:is>
      </x:c>
      <x:c t="inlineStr" r="BL28"/>
      <x:c t="inlineStr" r="BM28"/>
      <x:c t="inlineStr" r="BN28"/>
      <x:c t="inlineStr" r="BO28"/>
      <x:c t="inlineStr" r="BP28"/>
      <x:c t="inlineStr" r="BQ28"/>
      <x:c t="inlineStr" r="BR28"/>
      <x:c t="inlineStr" r="BS28"/>
      <x:c t="inlineStr" r="BT28"/>
      <x:c t="inlineStr" r="BU28"/>
      <x:c t="inlineStr" r="BV28"/>
      <x:c t="inlineStr" r="BW28"/>
      <x:c t="inlineStr" r="BX28"/>
      <x:c t="inlineStr" r="BY28"/>
      <x:c t="inlineStr" r="BZ28">
        <x:is>
          <x:t>Ipiranga</x:t>
        </x:is>
      </x:c>
      <x:c t="inlineStr" r="CA28"/>
      <x:c t="inlineStr" r="CB28"/>
      <x:c t="inlineStr" r="CC28"/>
      <x:c t="inlineStr" r="CD28"/>
      <x:c t="inlineStr" r="CE28">
        <x:is>
          <x:t>Rock In Rio</x:t>
        </x:is>
      </x:c>
      <x:c t="inlineStr" r="CF28"/>
    </x:row>
    <x:row r="29">
      <x:c t="n" r="A29">
        <x:v>4034570603</x:v>
      </x:c>
      <x:c t="inlineStr" r="B29">
        <x:is>
          <x:t>01.09.2026</x:t>
        </x:is>
      </x:c>
      <x:c t="inlineStr" r="C29">
        <x:is>
          <x:t>01:24</x:t>
        </x:is>
      </x:c>
      <x:c t="inlineStr" r="D29">
        <x:is>
          <x:t>01.09.2026 01:37</x:t>
        </x:is>
      </x:c>
      <x:c t="inlineStr" r="E29">
        <x:is>
          <x:t/>
        </x:is>
      </x:c>
      <x:c t="str" r="F29">
        <x:v>Ação de hoje do ipiranga na Barra da Tijuca, pretende disponibilizar até 300 ingressos para curtir o Rock In Rio no gramado. 
#rockinrio #riodejaneiro #foryou #promo</x:v>
      </x:c>
      <x:c t="inlineStr" r="G29">
        <x:is>
          <x:t/>
        </x:is>
      </x:c>
      <x:c t="inlineStr" r="H29"/>
      <x:c t="inlineStr" r="I29">
        <x:is>
          <x:t>Postar</x:t>
        </x:is>
      </x:c>
      <x:c t="inlineStr" r="J29">
        <x:is>
          <x:t>Texto,Vídeo</x:t>
        </x:is>
      </x:c>
      <x:c t="inlineStr" r="K29">
        <x:is>
          <x:t>InstagramReels</x:t>
        </x:is>
      </x:c>
      <x:c r="L29">
        <x:f>HYPERLINK("https://www.instagram.com/reel/DcuyxTdPp0g/")</x:f>
      </x:c>
      <x:c t="inlineStr" r="M29">
        <x:is>
          <x:t>Negativo</x:t>
        </x:is>
      </x:c>
      <x:c t="inlineStr" r="N29">
        <x:is>
          <x:t>Anthony Pereira | Vida real e Humor</x:t>
        </x:is>
      </x:c>
      <x:c t="inlineStr" r="O29">
        <x:is>
          <x:t>anthony.apereira</x:t>
        </x:is>
      </x:c>
      <x:c r="P29">
        <x:f>HYPERLINK("https://www.instagram.com/anthony.apereira/")</x:f>
      </x:c>
      <x:c t="n" r="Q29">
        <x:v>21164</x:v>
      </x:c>
      <x:c t="inlineStr" r="R29">
        <x:is>
          <x:t>Homem</x:t>
        </x:is>
      </x:c>
      <x:c t="inlineStr" r="S29"/>
      <x:c t="inlineStr" r="T29">
        <x:is>
          <x:t>instagram.com</x:t>
        </x:is>
      </x:c>
      <x:c t="inlineStr" r="U29">
        <x:is>
          <x:t>Anthony Pereira | Vida real e Humor</x:t>
        </x:is>
      </x:c>
      <x:c r="V29">
        <x:f>HYPERLINK("https://www.instagram.com/anthony.apereira/")</x:f>
      </x:c>
      <x:c t="n" r="W29">
        <x:v>21164</x:v>
      </x:c>
      <x:c t="inlineStr" r="X29"/>
      <x:c t="inlineStr" r="Y29">
        <x:is>
          <x:t>Rede social</x:t>
        </x:is>
      </x:c>
      <x:c t="inlineStr" r="Z29">
        <x:is>
          <x:t>Português</x:t>
        </x:is>
      </x:c>
      <x:c t="inlineStr" r="AA29"/>
      <x:c t="inlineStr" r="AB29"/>
      <x:c t="inlineStr" r="AC29"/>
      <x:c t="inlineStr" r="AD29"/>
      <x:c t="n" r="AE29">
        <x:v>1</x:v>
      </x:c>
      <x:c t="n" r="AF29">
        <x:v>2</x:v>
      </x:c>
      <x:c t="n" r="AG29">
        <x:v>1</x:v>
      </x:c>
      <x:c t="inlineStr" r="AH29"/>
      <x:c t="inlineStr" r="AI29"/>
      <x:c t="inlineStr" r="AJ29"/>
      <x:c t="inlineStr" r="AK29"/>
      <x:c t="inlineStr" r="AL29"/>
      <x:c t="inlineStr" r="AM29"/>
      <x:c t="inlineStr" r="AN29"/>
      <x:c t="n" r="AO29">
        <x:v>1</x:v>
      </x:c>
      <x:c t="n" r="AP29">
        <x:v>0</x:v>
      </x:c>
      <x:c t="n" r="AQ29">
        <x:v>136</x:v>
      </x:c>
      <x:c t="inlineStr" r="AR29"/>
      <x:c t="inlineStr" r="AS29"/>
      <x:c t="inlineStr" r="AT29"/>
      <x:c t="n" r="AU29">
        <x:v>21164</x:v>
      </x:c>
      <x:c t="inlineStr" r="AV29"/>
      <x:c t="inlineStr" r="AW29">
        <x:is>
          <x:t>Ipimax</x:t>
        </x:is>
      </x:c>
      <x:c t="inlineStr" r="AX29">
        <x:is>
          <x:t>guitar,musical instrument,facial hair,text,shirt,clothing,skin,moustache,poster</x:t>
        </x:is>
      </x:c>
      <x:c t="inlineStr" r="AY29">
        <x:is>
          <x:t/>
        </x:is>
      </x:c>
      <x:c t="inlineStr" r="AZ29">
        <x:is>
          <x:t>man,music artist,guitarist</x:t>
        </x:is>
      </x:c>
      <x:c t="inlineStr" r="BA29">
        <x:is>
          <x:t/>
        </x:is>
      </x:c>
      <x:c t="inlineStr" r="BB29">
        <x:is>
          <x:t>ILLUSTRATION</x:t>
        </x:is>
      </x:c>
      <x:c t="inlineStr" r="BC29">
        <x:is>
          <x:t>photomontage</x:t>
        </x:is>
      </x:c>
      <x:c t="inlineStr" r="BD29">
        <x:is>
          <x:t>https://scontent-lhr11-1.cdninstagram.com/v/t15.5256-10/789488986_1106028575330186_8802480773832667782_n.jpg?stp=dst-jpg_e35_tt6&amp;_nc_cat=100&amp;ccb=7-5&amp;_nc_sid=18de74&amp;efg=eyJlZmdfdGFnIjoiQ0xJUFMuYmVzdF9pbWFnZV91cmxnZW4uQzMifQ%3D%3D&amp;_nc_ohc=gkRtnJe-vSYQ7kNvwFiZHR-&amp;_nc_oc=AdrsqxjV4dtJPvFO5urYGLk0T4TUEGaSSkDtW6KmTe3Hnfp7C1wRf5L6eNujeX1dRqk&amp;_nc_zt=23&amp;_nc_ht=scontent-lhr11-1.cdninstagram.com&amp;edm=AJ7ooaQEAAAA&amp;_nc_gid=tY44mbLureGZC43fDT7zRw&amp;_nc_tpa=Q5bMBQIVIggvmLY6lIoi2K568uqwsx_21s_nTUkY-L-T3IQ6lUgd6ri3vOvTolX-kbj2z4AMWjOXQPfWPw&amp;oh=00_AQLs5JgLf84n6iP7eetgtlmqExFwBmwhv8UONnWt7y-x1g&amp;oe=6A9C4097</x:t>
        </x:is>
      </x:c>
      <x:c t="inlineStr" r="BE29">
        <x:is>
          <x:t/>
        </x:is>
      </x:c>
      <x:c t="inlineStr" r="BF29">
        <x:is>
          <x:t>Não</x:t>
        </x:is>
      </x:c>
      <x:c t="inlineStr" r="BG29"/>
      <x:c t="inlineStr" r="BH29">
        <x:is>
          <x:t/>
        </x:is>
      </x:c>
      <x:c t="inlineStr" r="BI29">
        <x:is>
          <x:t>Comércio</x:t>
        </x:is>
      </x:c>
      <x:c t="inlineStr" r="BJ29"/>
      <x:c t="inlineStr" r="BK29">
        <x:is>
          <x:t>Ipiranga,Rock In Rio</x:t>
        </x:is>
      </x:c>
      <x:c t="inlineStr" r="BL29"/>
      <x:c t="inlineStr" r="BM29"/>
      <x:c t="inlineStr" r="BN29"/>
      <x:c t="inlineStr" r="BO29"/>
      <x:c t="inlineStr" r="BP29"/>
      <x:c t="inlineStr" r="BQ29"/>
      <x:c t="inlineStr" r="BR29"/>
      <x:c t="inlineStr" r="BS29"/>
      <x:c t="inlineStr" r="BT29"/>
      <x:c t="inlineStr" r="BU29"/>
      <x:c t="inlineStr" r="BV29"/>
      <x:c t="inlineStr" r="BW29"/>
      <x:c t="inlineStr" r="BX29"/>
      <x:c t="inlineStr" r="BY29"/>
      <x:c t="inlineStr" r="BZ29">
        <x:is>
          <x:t>Ipiranga</x:t>
        </x:is>
      </x:c>
      <x:c t="inlineStr" r="CA29"/>
      <x:c t="inlineStr" r="CB29"/>
      <x:c t="inlineStr" r="CC29"/>
      <x:c t="inlineStr" r="CD29"/>
      <x:c t="inlineStr" r="CE29">
        <x:is>
          <x:t>Rock In Rio</x:t>
        </x:is>
      </x:c>
      <x:c t="inlineStr" r="CF29"/>
    </x:row>
    <x:row r="30">
      <x:c t="n" r="A30">
        <x:v>3494827851</x:v>
      </x:c>
      <x:c t="inlineStr" r="B30">
        <x:is>
          <x:t>01.09.2026</x:t>
        </x:is>
      </x:c>
      <x:c t="inlineStr" r="C30">
        <x:is>
          <x:t>00:24</x:t>
        </x:is>
      </x:c>
      <x:c t="inlineStr" r="D30">
        <x:is>
          <x:t>01.09.2026 01:37</x:t>
        </x:is>
      </x:c>
      <x:c t="inlineStr" r="E30">
        <x:is>
          <x:t/>
        </x:is>
      </x:c>
      <x:c t="str" r="F30">
        <x:v>Concorra a ingressos (gramado) para o Rock in Rio Brasil 2026. De 01/09 a 02/09/26. Brasil.
https://promocoesnainternet.com.br/promocao-ingressos-rir-ipiranga/</x:v>
      </x:c>
      <x:c t="inlineStr" r="G30">
        <x:is>
          <x:t/>
        </x:is>
      </x:c>
      <x:c t="inlineStr" r="H30"/>
      <x:c t="inlineStr" r="I30">
        <x:is>
          <x:t>Postar</x:t>
        </x:is>
      </x:c>
      <x:c t="inlineStr" r="J30">
        <x:is>
          <x:t>Texto,Imagem</x:t>
        </x:is>
      </x:c>
      <x:c t="inlineStr" r="K30"/>
      <x:c r="L30">
        <x:f>HYPERLINK("https://www.instagram.com/p/DcusHjojSsh/")</x:f>
      </x:c>
      <x:c t="inlineStr" r="M30">
        <x:is>
          <x:t>Negativo</x:t>
        </x:is>
      </x:c>
      <x:c t="inlineStr" r="N30">
        <x:is>
          <x:t>promocoesni</x:t>
        </x:is>
      </x:c>
      <x:c t="inlineStr" r="O30">
        <x:is>
          <x:t>promocoesni</x:t>
        </x:is>
      </x:c>
      <x:c r="P30">
        <x:f>HYPERLINK("https://www.instagram.com/promocoesni/")</x:f>
      </x:c>
      <x:c t="inlineStr" r="Q30"/>
      <x:c t="inlineStr" r="R30"/>
      <x:c t="inlineStr" r="S30"/>
      <x:c t="inlineStr" r="T30">
        <x:is>
          <x:t>instagram.com</x:t>
        </x:is>
      </x:c>
      <x:c t="inlineStr" r="U30">
        <x:is>
          <x:t>promocoesni</x:t>
        </x:is>
      </x:c>
      <x:c r="V30">
        <x:f>HYPERLINK("https://www.instagram.com/promocoesni/")</x:f>
      </x:c>
      <x:c t="inlineStr" r="W30"/>
      <x:c t="inlineStr" r="X30"/>
      <x:c t="inlineStr" r="Y30">
        <x:is>
          <x:t>Rede social</x:t>
        </x:is>
      </x:c>
      <x:c t="inlineStr" r="Z30">
        <x:is>
          <x:t>Português</x:t>
        </x:is>
      </x:c>
      <x:c t="inlineStr" r="AA30"/>
      <x:c t="inlineStr" r="AB30"/>
      <x:c t="inlineStr" r="AC30"/>
      <x:c t="inlineStr" r="AD30"/>
      <x:c t="n" r="AE30">
        <x:v>0</x:v>
      </x:c>
      <x:c t="n" r="AF30">
        <x:v>0</x:v>
      </x:c>
      <x:c t="n" r="AG30">
        <x:v>0</x:v>
      </x:c>
      <x:c t="inlineStr" r="AH30"/>
      <x:c t="inlineStr" r="AI30"/>
      <x:c t="inlineStr" r="AJ30"/>
      <x:c t="inlineStr" r="AK30"/>
      <x:c t="inlineStr" r="AL30"/>
      <x:c t="inlineStr" r="AM30"/>
      <x:c t="inlineStr" r="AN30"/>
      <x:c t="n" r="AO30">
        <x:v>0</x:v>
      </x:c>
      <x:c t="inlineStr" r="AP30"/>
      <x:c t="inlineStr" r="AQ30"/>
      <x:c t="inlineStr" r="AR30"/>
      <x:c t="inlineStr" r="AS30"/>
      <x:c t="inlineStr" r="AT30"/>
      <x:c t="inlineStr" r="AU30"/>
      <x:c t="inlineStr" r="AV30"/>
      <x:c t="inlineStr" r="AW30">
        <x:is>
          <x:t>Ipiranga</x:t>
        </x:is>
      </x:c>
      <x:c t="inlineStr" r="AX30">
        <x:is>
          <x:t>text,shirt,clothing,jeans</x:t>
        </x:is>
      </x:c>
      <x:c t="inlineStr" r="AY30">
        <x:is>
          <x:t/>
        </x:is>
      </x:c>
      <x:c t="inlineStr" r="AZ30">
        <x:is>
          <x:t>man</x:t>
        </x:is>
      </x:c>
      <x:c t="inlineStr" r="BA30">
        <x:is>
          <x:t>smile,standing</x:t>
        </x:is>
      </x:c>
      <x:c t="inlineStr" r="BB30">
        <x:is>
          <x:t>ILLUSTRATION</x:t>
        </x:is>
      </x:c>
      <x:c t="inlineStr" r="BC30">
        <x:is>
          <x:t>advertising</x:t>
        </x:is>
      </x:c>
      <x:c t="inlineStr" r="BD30">
        <x:is>
          <x:t>https://scontent-lhr11-1.cdninstagram.com/v/t51.82787-15/790240132_18616960498012115_8574171748231081646_n.jpg?stp=dst-jpg_e35_tt6&amp;_nc_cat=104&amp;ccb=7-5&amp;_nc_sid=18de74&amp;efg=eyJlZmdfdGFnIjoiRkVFRC5iZXN0X2ltYWdlX3VybGdlbi5DMyJ9&amp;_nc_ohc=cew_epidxY8Q7kNvwFVhxvR&amp;_nc_oc=AdpAVZdPEFyzF9-uuDhbq_4w14BSRsyKK5dcfqyC5mSpKG8qdUXj3S7NHGhKxlG5G24&amp;_nc_zt=23&amp;_nc_ht=scontent-lhr11-1.cdninstagram.com&amp;edm=AJ7ooaQEAAAA&amp;_nc_gid=tY44mbLureGZC43fDT7zRw&amp;oh=00_AQJ4OdqDTIB_QgesS3FuYiQpfnvSalFvfenlCl46H_M8vw&amp;oe=6A9C1E25</x:t>
        </x:is>
      </x:c>
      <x:c t="inlineStr" r="BE30">
        <x:is>
          <x:t/>
        </x:is>
      </x:c>
      <x:c t="inlineStr" r="BF30">
        <x:is>
          <x:t>Não</x:t>
        </x:is>
      </x:c>
      <x:c t="inlineStr" r="BG30"/>
      <x:c t="inlineStr" r="BH30">
        <x:is>
          <x:t/>
        </x:is>
      </x:c>
      <x:c t="inlineStr" r="BI30">
        <x:is>
          <x:t>Giveaway</x:t>
        </x:is>
      </x:c>
      <x:c t="inlineStr" r="BJ30">
        <x:is>
          <x:t>O Rock in Rio começa semana que vem e por aqui a ansiedade já está ON!</x:t>
        </x:is>
      </x:c>
      <x:c t="inlineStr" r="BK30">
        <x:is>
          <x:t>Ipiranga,Rock In Rio</x:t>
        </x:is>
      </x:c>
      <x:c t="inlineStr" r="BL30"/>
      <x:c t="inlineStr" r="BM30"/>
      <x:c t="inlineStr" r="BN30"/>
      <x:c t="inlineStr" r="BO30"/>
      <x:c t="inlineStr" r="BP30"/>
      <x:c t="inlineStr" r="BQ30"/>
      <x:c t="inlineStr" r="BR30"/>
      <x:c t="inlineStr" r="BS30"/>
      <x:c t="inlineStr" r="BT30"/>
      <x:c t="inlineStr" r="BU30"/>
      <x:c t="inlineStr" r="BV30"/>
      <x:c t="inlineStr" r="BW30"/>
      <x:c t="inlineStr" r="BX30"/>
      <x:c t="inlineStr" r="BY30"/>
      <x:c t="inlineStr" r="BZ30">
        <x:is>
          <x:t>Ipiranga</x:t>
        </x:is>
      </x:c>
      <x:c t="inlineStr" r="CA30"/>
      <x:c t="inlineStr" r="CB30"/>
      <x:c t="inlineStr" r="CC30"/>
      <x:c t="inlineStr" r="CD30"/>
      <x:c t="inlineStr" r="CE30">
        <x:is>
          <x:t>Rock In Rio</x:t>
        </x:is>
      </x:c>
      <x:c t="inlineStr" r="CF30"/>
    </x:row>
    <x:row r="31">
      <x:c t="n" r="A31">
        <x:v>176650961</x:v>
      </x:c>
      <x:c t="inlineStr" r="B31">
        <x:is>
          <x:t>01.09.2026</x:t>
        </x:is>
      </x:c>
      <x:c t="inlineStr" r="C31">
        <x:is>
          <x:t>00:23</x:t>
        </x:is>
      </x:c>
      <x:c t="inlineStr" r="D31">
        <x:is>
          <x:t>01.09.2026 00:49</x:t>
        </x:is>
      </x:c>
      <x:c t="inlineStr" r="E31">
        <x:is>
          <x:t/>
        </x:is>
      </x:c>
      <x:c t="str" r="F31">
        <x:v>Concorra a ingressos (gramado) para o Rock in Rio Brasil 2026. De 01/09 a 02/09/26. Brasil.
https://promocoesnainternet.com.br/promocao-ingressos-rir-ipiranga/
Ipiranga dá ingressos para o Rock in Rio Brasil 2026
Abasteça R$200 em Ipimax no posto da Barra da Tijuca ou comente no Instagram da Ipiranga e concorra.</x:v>
      </x:c>
      <x:c t="inlineStr" r="G31">
        <x:is>
          <x:t/>
        </x:is>
      </x:c>
      <x:c t="inlineStr" r="H31"/>
      <x:c t="inlineStr" r="I31">
        <x:is>
          <x:t>Postar</x:t>
        </x:is>
      </x:c>
      <x:c t="inlineStr" r="J31">
        <x:is>
          <x:t>Link,Texto</x:t>
        </x:is>
      </x:c>
      <x:c t="inlineStr" r="K31"/>
      <x:c r="L31">
        <x:f>HYPERLINK("https://x.com/promocoes/status/2094627291322069466")</x:f>
      </x:c>
      <x:c t="inlineStr" r="M31">
        <x:is>
          <x:t>Negativo</x:t>
        </x:is>
      </x:c>
      <x:c t="inlineStr" r="N31">
        <x:is>
          <x:t>Promoções na Internet</x:t>
        </x:is>
      </x:c>
      <x:c t="inlineStr" r="O31">
        <x:is>
          <x:t>promocoes</x:t>
        </x:is>
      </x:c>
      <x:c r="P31">
        <x:f>HYPERLINK("http://x.com/promocoes")</x:f>
      </x:c>
      <x:c t="n" r="Q31">
        <x:v>12247</x:v>
      </x:c>
      <x:c t="inlineStr" r="R31"/>
      <x:c t="inlineStr" r="S31"/>
      <x:c t="inlineStr" r="T31">
        <x:is>
          <x:t>x.com</x:t>
        </x:is>
      </x:c>
      <x:c t="inlineStr" r="U31"/>
      <x:c t="inlineStr" r="V31"/>
      <x:c t="inlineStr" r="W31"/>
      <x:c t="inlineStr" r="X31"/>
      <x:c t="inlineStr" r="Y31">
        <x:is>
          <x:t>Rede social</x:t>
        </x:is>
      </x:c>
      <x:c t="inlineStr" r="Z31">
        <x:is>
          <x:t>Português</x:t>
        </x:is>
      </x:c>
      <x:c t="inlineStr" r="AA31">
        <x:is>
          <x:t>Brasil</x:t>
        </x:is>
      </x:c>
      <x:c t="inlineStr" r="AB31">
        <x:is>
          <x:t>São Paulo</x:t>
        </x:is>
      </x:c>
      <x:c t="inlineStr" r="AC31"/>
      <x:c t="inlineStr" r="AD31"/>
      <x:c t="n" r="AE31">
        <x:v>2</x:v>
      </x:c>
      <x:c t="n" r="AF31">
        <x:v>2</x:v>
      </x:c>
      <x:c t="n" r="AG31">
        <x:v>2</x:v>
      </x:c>
      <x:c t="inlineStr" r="AH31"/>
      <x:c t="inlineStr" r="AI31"/>
      <x:c t="inlineStr" r="AJ31"/>
      <x:c t="inlineStr" r="AK31"/>
      <x:c t="inlineStr" r="AL31"/>
      <x:c t="inlineStr" r="AM31"/>
      <x:c t="inlineStr" r="AN31"/>
      <x:c t="inlineStr" r="AO31"/>
      <x:c t="inlineStr" r="AP31"/>
      <x:c t="n" r="AQ31">
        <x:v>240</x:v>
      </x:c>
      <x:c t="inlineStr" r="AR31"/>
      <x:c t="inlineStr" r="AS31"/>
      <x:c t="n" r="AT31">
        <x:v>1</x:v>
      </x:c>
      <x:c t="n" r="AU31">
        <x:v>12247</x:v>
      </x:c>
      <x:c t="inlineStr" r="AV31"/>
      <x:c t="inlineStr" r="AW31">
        <x:is>
          <x:t>Ipiranga</x:t>
        </x:is>
      </x:c>
      <x:c t="inlineStr" r="AX31">
        <x:is>
          <x:t>text,shirt,clothing,jeans</x:t>
        </x:is>
      </x:c>
      <x:c t="inlineStr" r="AY31">
        <x:is>
          <x:t/>
        </x:is>
      </x:c>
      <x:c t="inlineStr" r="AZ31">
        <x:is>
          <x:t>man</x:t>
        </x:is>
      </x:c>
      <x:c t="inlineStr" r="BA31">
        <x:is>
          <x:t>smile,standing</x:t>
        </x:is>
      </x:c>
      <x:c t="inlineStr" r="BB31">
        <x:is>
          <x:t>ILLUSTRATION</x:t>
        </x:is>
      </x:c>
      <x:c t="inlineStr" r="BC31">
        <x:is>
          <x:t>advertising</x:t>
        </x:is>
      </x:c>
      <x:c r="BD31">
        <x:f>HYPERLINK("https://pbs.twimg.com/card_img/2094627280433606656/DLNIGO9C?format=jpg&amp;name=orig")</x:f>
      </x:c>
      <x:c t="inlineStr" r="BE31">
        <x:is>
          <x:t/>
        </x:is>
      </x:c>
      <x:c t="inlineStr" r="BF31">
        <x:is>
          <x:t>Não</x:t>
        </x:is>
      </x:c>
      <x:c t="inlineStr" r="BG31"/>
      <x:c t="inlineStr" r="BH31">
        <x:is>
          <x:t/>
        </x:is>
      </x:c>
      <x:c t="inlineStr" r="BI31">
        <x:is>
          <x:t>Giveaway</x:t>
        </x:is>
      </x:c>
      <x:c t="inlineStr" r="BJ31">
        <x:is>
          <x:t>O Rock in Rio começa semana que vem e por aqui a ansiedade já está ON!</x:t>
        </x:is>
      </x:c>
      <x:c t="inlineStr" r="BK31">
        <x:is>
          <x:t>Ipimax,Ipiranga,Rock In Rio</x:t>
        </x:is>
      </x:c>
      <x:c t="inlineStr" r="BL31"/>
      <x:c t="inlineStr" r="BM31"/>
      <x:c t="inlineStr" r="BN31"/>
      <x:c t="inlineStr" r="BO31"/>
      <x:c t="inlineStr" r="BP31"/>
      <x:c t="inlineStr" r="BQ31"/>
      <x:c t="inlineStr" r="BR31"/>
      <x:c t="inlineStr" r="BS31"/>
      <x:c t="inlineStr" r="BT31"/>
      <x:c t="inlineStr" r="BU31"/>
      <x:c t="inlineStr" r="BV31"/>
      <x:c t="inlineStr" r="BW31">
        <x:is>
          <x:t>Ipimax</x:t>
        </x:is>
      </x:c>
      <x:c t="inlineStr" r="BX31"/>
      <x:c t="inlineStr" r="BY31"/>
      <x:c t="inlineStr" r="BZ31">
        <x:is>
          <x:t>Ipiranga</x:t>
        </x:is>
      </x:c>
      <x:c t="inlineStr" r="CA31"/>
      <x:c t="inlineStr" r="CB31"/>
      <x:c t="inlineStr" r="CC31"/>
      <x:c t="inlineStr" r="CD31"/>
      <x:c t="inlineStr" r="CE31">
        <x:is>
          <x:t>Rock In Rio</x:t>
        </x:is>
      </x:c>
      <x:c t="inlineStr" r="CF31"/>
    </x:row>
    <x:row r="32">
      <x:c t="n" r="A32">
        <x:v>2853223018</x:v>
      </x:c>
      <x:c t="inlineStr" r="B32">
        <x:is>
          <x:t>31.08.2026</x:t>
        </x:is>
      </x:c>
      <x:c t="inlineStr" r="C32">
        <x:is>
          <x:t>23:42</x:t>
        </x:is>
      </x:c>
      <x:c t="inlineStr" r="D32">
        <x:is>
          <x:t>31.08.2026 23:44</x:t>
        </x:is>
      </x:c>
      <x:c t="inlineStr" r="E32">
        <x:is>
          <x:t/>
        </x:is>
      </x:c>
      <x:c t="str" r="F32">
        <x:v>@seara_brasil @vwbrasil @iFood @GeminiApp @CocaCola @rockinrio @ipiranga Me ajudem a realizar esse Sonho
@itau realize o meu sonho que é viver o meu Primeiro #rockinRio pra assistir o astro do Brasil fazer história no palco mundo realize esse sonho quero viver esse momento de fã junto ao @DjPedroSampaio nesse momento tão especial pra ele e seria uma hora pra mim 🥹🥹 #ITAÚ</x:v>
      </x:c>
      <x:c t="inlineStr" r="G32">
        <x:is>
          <x:t/>
        </x:is>
      </x:c>
      <x:c t="inlineStr" r="H32"/>
      <x:c t="inlineStr" r="I32">
        <x:is>
          <x:t>Repostagem estendida</x:t>
        </x:is>
      </x:c>
      <x:c t="inlineStr" r="J32">
        <x:is>
          <x:t>Imagem,Álbum,Texto</x:t>
        </x:is>
      </x:c>
      <x:c t="inlineStr" r="K32"/>
      <x:c r="L32">
        <x:f>HYPERLINK("https://x.com/yanmarcosleite2/status/2094616888806404429")</x:f>
      </x:c>
      <x:c t="inlineStr" r="M32">
        <x:is>
          <x:t>Negativo</x:t>
        </x:is>
      </x:c>
      <x:c t="inlineStr" r="N32">
        <x:is>
          <x:t>yan marcos 🥂</x:t>
        </x:is>
      </x:c>
      <x:c t="inlineStr" r="O32">
        <x:is>
          <x:t>yanmarcosleite2</x:t>
        </x:is>
      </x:c>
      <x:c r="P32">
        <x:f>HYPERLINK("http://x.com/yanmarcosleite2")</x:f>
      </x:c>
      <x:c t="n" r="Q32">
        <x:v>248</x:v>
      </x:c>
      <x:c t="inlineStr" r="R32"/>
      <x:c t="inlineStr" r="S32"/>
      <x:c t="inlineStr" r="T32">
        <x:is>
          <x:t>x.com</x:t>
        </x:is>
      </x:c>
      <x:c t="inlineStr" r="U32"/>
      <x:c t="inlineStr" r="V32"/>
      <x:c t="inlineStr" r="W32"/>
      <x:c t="inlineStr" r="X32"/>
      <x:c t="inlineStr" r="Y32">
        <x:is>
          <x:t>Rede social</x:t>
        </x:is>
      </x:c>
      <x:c t="inlineStr" r="Z32">
        <x:is>
          <x:t>Português</x:t>
        </x:is>
      </x:c>
      <x:c t="inlineStr" r="AA32">
        <x:is>
          <x:t>Brasil</x:t>
        </x:is>
      </x:c>
      <x:c t="inlineStr" r="AB32">
        <x:is>
          <x:t>Rio de Janeiro</x:t>
        </x:is>
      </x:c>
      <x:c t="inlineStr" r="AC32">
        <x:is>
          <x:t>Areal</x:t>
        </x:is>
      </x:c>
      <x:c t="inlineStr" r="AD32"/>
      <x:c t="n" r="AE32">
        <x:v>0</x:v>
      </x:c>
      <x:c t="n" r="AF32">
        <x:v>0</x:v>
      </x:c>
      <x:c t="n" r="AG32">
        <x:v>0</x:v>
      </x:c>
      <x:c t="inlineStr" r="AH32"/>
      <x:c t="inlineStr" r="AI32"/>
      <x:c t="inlineStr" r="AJ32"/>
      <x:c t="inlineStr" r="AK32"/>
      <x:c t="inlineStr" r="AL32"/>
      <x:c t="inlineStr" r="AM32"/>
      <x:c t="inlineStr" r="AN32"/>
      <x:c t="n" r="AO32">
        <x:v>0</x:v>
      </x:c>
      <x:c t="n" r="AP32">
        <x:v>0</x:v>
      </x:c>
      <x:c t="n" r="AQ32">
        <x:v>105</x:v>
      </x:c>
      <x:c t="inlineStr" r="AR32"/>
      <x:c t="inlineStr" r="AS32"/>
      <x:c t="inlineStr" r="AT32"/>
      <x:c t="n" r="AU32">
        <x:v>248</x:v>
      </x:c>
      <x:c t="inlineStr" r="AV32"/>
      <x:c t="inlineStr" r="AW32">
        <x:is>
          <x:t/>
        </x:is>
      </x:c>
      <x:c t="inlineStr" r="AX32">
        <x:is>
          <x:t>glasses,facial hair,clothing,car,vehicle,baseball cap,tooth,skin,shirt,muscle</x:t>
        </x:is>
      </x:c>
      <x:c t="inlineStr" r="AY32">
        <x:is>
          <x:t>friendship</x:t>
        </x:is>
      </x:c>
      <x:c t="inlineStr" r="AZ32">
        <x:is>
          <x:t>man,youth</x:t>
        </x:is>
      </x:c>
      <x:c t="inlineStr" r="BA32">
        <x:is>
          <x:t>smile,standing</x:t>
        </x:is>
      </x:c>
      <x:c t="inlineStr" r="BB32">
        <x:is>
          <x:t>PHOTO</x:t>
        </x:is>
      </x:c>
      <x:c t="inlineStr" r="BC32"/>
      <x:c r="BD32">
        <x:f>HYPERLINK("https://pbs.twimg.com/media/HRFdlqvXkAA4kr1.jpg")</x:f>
      </x:c>
      <x:c t="inlineStr" r="BE32">
        <x:is>
          <x:t/>
        </x:is>
      </x:c>
      <x:c t="inlineStr" r="BF32">
        <x:is>
          <x:t>Não</x:t>
        </x:is>
      </x:c>
      <x:c t="inlineStr" r="BG32"/>
      <x:c t="inlineStr" r="BH32">
        <x:is>
          <x:t>Música</x:t>
        </x:is>
      </x:c>
      <x:c t="inlineStr" r="BI32">
        <x:is>
          <x:t>WOM</x:t>
        </x:is>
      </x:c>
      <x:c t="inlineStr" r="BJ32"/>
      <x:c t="inlineStr" r="BK32">
        <x:is>
          <x:t>Ipiranga,Rock In Rio</x:t>
        </x:is>
      </x:c>
      <x:c t="inlineStr" r="BL32"/>
      <x:c t="inlineStr" r="BM32"/>
      <x:c t="inlineStr" r="BN32"/>
      <x:c t="inlineStr" r="BO32"/>
      <x:c t="inlineStr" r="BP32"/>
      <x:c t="inlineStr" r="BQ32"/>
      <x:c t="inlineStr" r="BR32"/>
      <x:c t="inlineStr" r="BS32"/>
      <x:c t="inlineStr" r="BT32"/>
      <x:c t="inlineStr" r="BU32"/>
      <x:c t="inlineStr" r="BV32"/>
      <x:c t="inlineStr" r="BW32"/>
      <x:c t="inlineStr" r="BX32"/>
      <x:c t="inlineStr" r="BY32"/>
      <x:c t="inlineStr" r="BZ32">
        <x:is>
          <x:t>Ipiranga</x:t>
        </x:is>
      </x:c>
      <x:c t="inlineStr" r="CA32"/>
      <x:c t="inlineStr" r="CB32"/>
      <x:c t="inlineStr" r="CC32"/>
      <x:c t="inlineStr" r="CD32"/>
      <x:c t="inlineStr" r="CE32">
        <x:is>
          <x:t>Rock In Rio</x:t>
        </x:is>
      </x:c>
      <x:c t="inlineStr" r="CF32"/>
    </x:row>
    <x:row r="33">
      <x:c t="n" r="A33">
        <x:v>425185696</x:v>
      </x:c>
      <x:c t="inlineStr" r="B33">
        <x:is>
          <x:t>31.08.2026</x:t>
        </x:is>
      </x:c>
      <x:c t="inlineStr" r="C33">
        <x:is>
          <x:t>22:13</x:t>
        </x:is>
      </x:c>
      <x:c t="inlineStr" r="D33">
        <x:is>
          <x:t>31.08.2026 22:27</x:t>
        </x:is>
      </x:c>
      <x:c t="inlineStr" r="E33">
        <x:is>
          <x:t/>
        </x:is>
      </x:c>
      <x:c t="str" r="F33">
        <x:v>Ação relâmpago no Rio e concurso online distribuem centenas de ingressos para o Rock in Rio Brasil 2026 mediante abastecimento e frases criativas. #RockInRioBrasil2026 #IngressosRockInRio #IpirangaRockInRio #BlitzIpiranga #ConcursoCulturalInstagram https://auroracultural.com/noticias/musica/abastecimento-garante-ingressos-para-o-rock-in-rio-em-acao-especial/
Abastecimento garante ingressos para o Rock in Rio em ação especial</x:v>
      </x:c>
      <x:c t="inlineStr" r="G33">
        <x:is>
          <x:t/>
        </x:is>
      </x:c>
      <x:c t="inlineStr" r="H33"/>
      <x:c t="inlineStr" r="I33">
        <x:is>
          <x:t>Postar</x:t>
        </x:is>
      </x:c>
      <x:c t="inlineStr" r="J33">
        <x:is>
          <x:t>Link,Texto</x:t>
        </x:is>
      </x:c>
      <x:c t="inlineStr" r="K33"/>
      <x:c r="L33">
        <x:f>HYPERLINK("https://x.com/AuroraCultural/status/2094594421304025248")</x:f>
      </x:c>
      <x:c t="inlineStr" r="M33">
        <x:is>
          <x:t>Negativo</x:t>
        </x:is>
      </x:c>
      <x:c t="inlineStr" r="N33">
        <x:is>
          <x:t>Aurora Cultural</x:t>
        </x:is>
      </x:c>
      <x:c t="inlineStr" r="O33">
        <x:is>
          <x:t>AuroraCultural</x:t>
        </x:is>
      </x:c>
      <x:c r="P33">
        <x:f>HYPERLINK("http://x.com/AuroraCultural")</x:f>
      </x:c>
      <x:c t="n" r="Q33">
        <x:v>701</x:v>
      </x:c>
      <x:c t="inlineStr" r="R33">
        <x:is>
          <x:t>Mulher</x:t>
        </x:is>
      </x:c>
      <x:c t="inlineStr" r="S33"/>
      <x:c t="inlineStr" r="T33">
        <x:is>
          <x:t>x.com</x:t>
        </x:is>
      </x:c>
      <x:c t="inlineStr" r="U33"/>
      <x:c t="inlineStr" r="V33"/>
      <x:c t="inlineStr" r="W33"/>
      <x:c t="inlineStr" r="X33"/>
      <x:c t="inlineStr" r="Y33">
        <x:is>
          <x:t>Rede social</x:t>
        </x:is>
      </x:c>
      <x:c t="inlineStr" r="Z33">
        <x:is>
          <x:t>Português</x:t>
        </x:is>
      </x:c>
      <x:c t="inlineStr" r="AA33">
        <x:is>
          <x:t>Brasil</x:t>
        </x:is>
      </x:c>
      <x:c t="inlineStr" r="AB33"/>
      <x:c t="inlineStr" r="AC33"/>
      <x:c t="inlineStr" r="AD33"/>
      <x:c t="n" r="AE33">
        <x:v>1</x:v>
      </x:c>
      <x:c t="n" r="AF33">
        <x:v>1</x:v>
      </x:c>
      <x:c t="n" r="AG33">
        <x:v>1</x:v>
      </x:c>
      <x:c t="inlineStr" r="AH33"/>
      <x:c t="inlineStr" r="AI33"/>
      <x:c t="inlineStr" r="AJ33"/>
      <x:c t="inlineStr" r="AK33"/>
      <x:c t="inlineStr" r="AL33"/>
      <x:c t="inlineStr" r="AM33"/>
      <x:c t="inlineStr" r="AN33"/>
      <x:c t="inlineStr" r="AO33"/>
      <x:c t="inlineStr" r="AP33"/>
      <x:c t="n" r="AQ33">
        <x:v>15</x:v>
      </x:c>
      <x:c t="inlineStr" r="AR33"/>
      <x:c t="inlineStr" r="AS33"/>
      <x:c t="inlineStr" r="AT33"/>
      <x:c t="n" r="AU33">
        <x:v>701</x:v>
      </x:c>
      <x:c t="inlineStr" r="AV33"/>
      <x:c t="inlineStr" r="AW33">
        <x:is>
          <x:t>Ipiranga</x:t>
        </x:is>
      </x:c>
      <x:c t="inlineStr" r="AX33">
        <x:is>
          <x:t>sky,vehicle,car,wheel,building,tree,text,plant,signage</x:t>
        </x:is>
      </x:c>
      <x:c t="inlineStr" r="AY33">
        <x:is>
          <x:t>outdoor</x:t>
        </x:is>
      </x:c>
      <x:c t="inlineStr" r="AZ33">
        <x:is>
          <x:t/>
        </x:is>
      </x:c>
      <x:c t="inlineStr" r="BA33">
        <x:is>
          <x:t/>
        </x:is>
      </x:c>
      <x:c t="inlineStr" r="BB33">
        <x:is>
          <x:t>PHOTO</x:t>
        </x:is>
      </x:c>
      <x:c t="inlineStr" r="BC33"/>
      <x:c r="BD33">
        <x:f>HYPERLINK("https://pbs.twimg.com/card_img/2094594421614403584/tCR85OrT?format=jpg&amp;name=orig")</x:f>
      </x:c>
      <x:c t="inlineStr" r="BE33">
        <x:is>
          <x:t/>
        </x:is>
      </x:c>
      <x:c t="inlineStr" r="BF33">
        <x:is>
          <x:t>Não</x:t>
        </x:is>
      </x:c>
      <x:c t="inlineStr" r="BG33"/>
      <x:c t="inlineStr" r="BH33">
        <x:is>
          <x:t/>
        </x:is>
      </x:c>
      <x:c t="inlineStr" r="BI33">
        <x:is>
          <x:t>Giveaway</x:t>
        </x:is>
      </x:c>
      <x:c t="inlineStr" r="BJ33">
        <x:is>
          <x:t>O Rock in Rio começa semana que vem e por aqui a ansiedade já está ON!</x:t>
        </x:is>
      </x:c>
      <x:c t="inlineStr" r="BK33">
        <x:is>
          <x:t>Rock In Rio</x:t>
        </x:is>
      </x:c>
      <x:c t="inlineStr" r="BL33"/>
      <x:c t="inlineStr" r="BM33"/>
      <x:c t="inlineStr" r="BN33"/>
      <x:c t="inlineStr" r="BO33"/>
      <x:c t="inlineStr" r="BP33"/>
      <x:c t="inlineStr" r="BQ33"/>
      <x:c t="inlineStr" r="BR33"/>
      <x:c t="inlineStr" r="BS33"/>
      <x:c t="inlineStr" r="BT33"/>
      <x:c t="inlineStr" r="BU33"/>
      <x:c t="inlineStr" r="BV33"/>
      <x:c t="inlineStr" r="BW33"/>
      <x:c t="inlineStr" r="BX33"/>
      <x:c t="inlineStr" r="BY33"/>
      <x:c t="inlineStr" r="BZ33"/>
      <x:c t="inlineStr" r="CA33"/>
      <x:c t="inlineStr" r="CB33"/>
      <x:c t="inlineStr" r="CC33"/>
      <x:c t="inlineStr" r="CD33"/>
      <x:c t="inlineStr" r="CE33">
        <x:is>
          <x:t>Rock In Rio</x:t>
        </x:is>
      </x:c>
      <x:c t="inlineStr" r="CF33"/>
    </x:row>
    <x:row r="34">
      <x:c t="n" r="A34">
        <x:v>1086104785</x:v>
      </x:c>
      <x:c t="inlineStr" r="B34">
        <x:is>
          <x:t>31.08.2026</x:t>
        </x:is>
      </x:c>
      <x:c t="inlineStr" r="C34">
        <x:is>
          <x:t>21:34</x:t>
        </x:is>
      </x:c>
      <x:c t="inlineStr" r="D34">
        <x:is>
          <x:t>31.08.2026 21:52</x:t>
        </x:is>
      </x:c>
      <x:c t="inlineStr" r="E34">
        <x:is>
          <x:t/>
        </x:is>
      </x:c>
      <x:c t="inlineStr" r="F34">
        <x:is>
          <x:t>Compradores de ingresso do rock in rio os maiores otários do país: Amanhã quem abastecer no posto Ipiranga GANHA um ingresso PQP</x:t>
        </x:is>
      </x:c>
      <x:c t="inlineStr" r="G34">
        <x:is>
          <x:t/>
        </x:is>
      </x:c>
      <x:c t="inlineStr" r="H34"/>
      <x:c t="inlineStr" r="I34">
        <x:is>
          <x:t>Postar</x:t>
        </x:is>
      </x:c>
      <x:c t="inlineStr" r="J34">
        <x:is>
          <x:t>Imagem,Texto</x:t>
        </x:is>
      </x:c>
      <x:c t="inlineStr" r="K34"/>
      <x:c r="L34">
        <x:f>HYPERLINK("https://x.com/Darioalvesf/status/2094584613423239186")</x:f>
      </x:c>
      <x:c t="inlineStr" r="M34">
        <x:is>
          <x:t>Negativo</x:t>
        </x:is>
      </x:c>
      <x:c t="inlineStr" r="N34">
        <x:is>
          <x:t>dary ROCK 🖤</x:t>
        </x:is>
      </x:c>
      <x:c t="inlineStr" r="O34">
        <x:is>
          <x:t>Darioalvesf</x:t>
        </x:is>
      </x:c>
      <x:c r="P34">
        <x:f>HYPERLINK("http://x.com/Darioalvesf")</x:f>
      </x:c>
      <x:c t="n" r="Q34">
        <x:v>291</x:v>
      </x:c>
      <x:c t="inlineStr" r="R34"/>
      <x:c t="inlineStr" r="S34"/>
      <x:c t="inlineStr" r="T34">
        <x:is>
          <x:t>x.com</x:t>
        </x:is>
      </x:c>
      <x:c t="inlineStr" r="U34"/>
      <x:c t="inlineStr" r="V34"/>
      <x:c t="inlineStr" r="W34"/>
      <x:c t="inlineStr" r="X34"/>
      <x:c t="inlineStr" r="Y34">
        <x:is>
          <x:t>Rede social</x:t>
        </x:is>
      </x:c>
      <x:c t="inlineStr" r="Z34">
        <x:is>
          <x:t>Português</x:t>
        </x:is>
      </x:c>
      <x:c t="inlineStr" r="AA34">
        <x:is>
          <x:t>Brasil</x:t>
        </x:is>
      </x:c>
      <x:c t="inlineStr" r="AB34">
        <x:is>
          <x:t>Pernambuco</x:t>
        </x:is>
      </x:c>
      <x:c t="inlineStr" r="AC34">
        <x:is>
          <x:t>Recife</x:t>
        </x:is>
      </x:c>
      <x:c t="inlineStr" r="AD34"/>
      <x:c t="n" r="AE34">
        <x:v>2</x:v>
      </x:c>
      <x:c t="n" r="AF34">
        <x:v>3</x:v>
      </x:c>
      <x:c t="n" r="AG34">
        <x:v>2</x:v>
      </x:c>
      <x:c t="inlineStr" r="AH34"/>
      <x:c t="inlineStr" r="AI34"/>
      <x:c t="inlineStr" r="AJ34"/>
      <x:c t="inlineStr" r="AK34"/>
      <x:c t="inlineStr" r="AL34"/>
      <x:c t="inlineStr" r="AM34"/>
      <x:c t="inlineStr" r="AN34"/>
      <x:c t="n" r="AO34">
        <x:v>1</x:v>
      </x:c>
      <x:c t="n" r="AP34">
        <x:v>0</x:v>
      </x:c>
      <x:c t="n" r="AQ34">
        <x:v>142</x:v>
      </x:c>
      <x:c t="inlineStr" r="AR34"/>
      <x:c t="inlineStr" r="AS34"/>
      <x:c t="inlineStr" r="AT34"/>
      <x:c t="n" r="AU34">
        <x:v>291</x:v>
      </x:c>
      <x:c t="inlineStr" r="AV34"/>
      <x:c t="inlineStr" r="AW34">
        <x:is>
          <x:t/>
        </x:is>
      </x:c>
      <x:c t="inlineStr" r="AX34">
        <x:is>
          <x:t>long hair,skin,finger,tooth,clothing,brown hair</x:t>
        </x:is>
      </x:c>
      <x:c t="inlineStr" r="AY34">
        <x:is>
          <x:t/>
        </x:is>
      </x:c>
      <x:c t="inlineStr" r="AZ34">
        <x:is>
          <x:t>woman,youth</x:t>
        </x:is>
      </x:c>
      <x:c t="inlineStr" r="BA34">
        <x:is>
          <x:t>smile</x:t>
        </x:is>
      </x:c>
      <x:c t="inlineStr" r="BB34">
        <x:is>
          <x:t>PHOTO</x:t>
        </x:is>
      </x:c>
      <x:c t="inlineStr" r="BC34"/>
      <x:c r="BD34">
        <x:f>HYPERLINK("https://pbs.twimg.com/media/HRF1mhkXYAEzcAU.jpg")</x:f>
      </x:c>
      <x:c t="inlineStr" r="BE34">
        <x:is>
          <x:t/>
        </x:is>
      </x:c>
      <x:c t="inlineStr" r="BF34">
        <x:is>
          <x:t>Não</x:t>
        </x:is>
      </x:c>
      <x:c t="inlineStr" r="BG34"/>
      <x:c t="inlineStr" r="BH34">
        <x:is>
          <x:t>Música</x:t>
        </x:is>
      </x:c>
      <x:c t="inlineStr" r="BI34">
        <x:is>
          <x:t/>
        </x:is>
      </x:c>
      <x:c t="inlineStr" r="BJ34"/>
      <x:c t="inlineStr" r="BK34">
        <x:is>
          <x:t>Ipiranga,Rock In Rio</x:t>
        </x:is>
      </x:c>
      <x:c t="inlineStr" r="BL34"/>
      <x:c t="inlineStr" r="BM34"/>
      <x:c t="inlineStr" r="BN34"/>
      <x:c t="inlineStr" r="BO34"/>
      <x:c t="inlineStr" r="BP34"/>
      <x:c t="inlineStr" r="BQ34"/>
      <x:c t="inlineStr" r="BR34"/>
      <x:c t="inlineStr" r="BS34"/>
      <x:c t="inlineStr" r="BT34"/>
      <x:c t="inlineStr" r="BU34"/>
      <x:c t="inlineStr" r="BV34"/>
      <x:c t="inlineStr" r="BW34"/>
      <x:c t="inlineStr" r="BX34"/>
      <x:c t="inlineStr" r="BY34"/>
      <x:c t="inlineStr" r="BZ34">
        <x:is>
          <x:t>Ipiranga</x:t>
        </x:is>
      </x:c>
      <x:c t="inlineStr" r="CA34"/>
      <x:c t="inlineStr" r="CB34"/>
      <x:c t="inlineStr" r="CC34"/>
      <x:c t="inlineStr" r="CD34"/>
      <x:c t="inlineStr" r="CE34">
        <x:is>
          <x:t>Rock In Rio</x:t>
        </x:is>
      </x:c>
      <x:c t="inlineStr" r="CF34"/>
    </x:row>
    <x:row r="35">
      <x:c t="n" r="A35">
        <x:v>1750691128</x:v>
      </x:c>
      <x:c t="inlineStr" r="B35">
        <x:is>
          <x:t>31.08.2026</x:t>
        </x:is>
      </x:c>
      <x:c t="inlineStr" r="C35">
        <x:is>
          <x:t>19:50</x:t>
        </x:is>
      </x:c>
      <x:c t="inlineStr" r="D35">
        <x:is>
          <x:t>31.08.2026 20:21</x:t>
        </x:is>
      </x:c>
      <x:c t="inlineStr" r="E35">
        <x:is>
          <x:t/>
        </x:is>
      </x:c>
      <x:c t="str" r="F35">
        <x:v>Acho que esse potinho funcionou, hein … 
Resgatei até meu ingresso pro Rock in Rio no Km de Vantagens, graças à ipiranga, patrocinadora oficial do Rock in Rio Brasil 2026 🎸🔥 •publi 
Vejo vocês por lá! 🫶🏻
#IpirangaNoRockinRio #ParadaCompleta</x:v>
      </x:c>
      <x:c t="inlineStr" r="G35">
        <x:is>
          <x:t/>
        </x:is>
      </x:c>
      <x:c t="inlineStr" r="H35"/>
      <x:c t="inlineStr" r="I35">
        <x:is>
          <x:t>Postar</x:t>
        </x:is>
      </x:c>
      <x:c t="inlineStr" r="J35">
        <x:is>
          <x:t>Texto,Vídeo</x:t>
        </x:is>
      </x:c>
      <x:c t="inlineStr" r="K35">
        <x:is>
          <x:t>InstagramReels</x:t>
        </x:is>
      </x:c>
      <x:c r="L35">
        <x:f>HYPERLINK("https://www.instagram.com/reel/DcuLyC-Rqkr/")</x:f>
      </x:c>
      <x:c t="inlineStr" r="M35">
        <x:is>
          <x:t>Negativo</x:t>
        </x:is>
      </x:c>
      <x:c t="inlineStr" r="N35">
        <x:is>
          <x:t>Lusca</x:t>
        </x:is>
      </x:c>
      <x:c t="inlineStr" r="O35">
        <x:is>
          <x:t>l.lusca</x:t>
        </x:is>
      </x:c>
      <x:c r="P35">
        <x:f>HYPERLINK("https://www.instagram.com/l.lusca/")</x:f>
      </x:c>
      <x:c t="n" r="Q35">
        <x:v>611576</x:v>
      </x:c>
      <x:c t="inlineStr" r="R35"/>
      <x:c t="inlineStr" r="S35"/>
      <x:c t="inlineStr" r="T35">
        <x:is>
          <x:t>instagram.com</x:t>
        </x:is>
      </x:c>
      <x:c t="inlineStr" r="U35">
        <x:is>
          <x:t>Lusca</x:t>
        </x:is>
      </x:c>
      <x:c r="V35">
        <x:f>HYPERLINK("https://www.instagram.com/l.lusca/")</x:f>
      </x:c>
      <x:c t="n" r="W35">
        <x:v>611576</x:v>
      </x:c>
      <x:c t="inlineStr" r="X35"/>
      <x:c t="inlineStr" r="Y35">
        <x:is>
          <x:t>Rede social</x:t>
        </x:is>
      </x:c>
      <x:c t="inlineStr" r="Z35">
        <x:is>
          <x:t>Português</x:t>
        </x:is>
      </x:c>
      <x:c t="inlineStr" r="AA35"/>
      <x:c t="inlineStr" r="AB35"/>
      <x:c t="inlineStr" r="AC35"/>
      <x:c t="inlineStr" r="AD35"/>
      <x:c t="n" r="AE35">
        <x:v>11078</x:v>
      </x:c>
      <x:c t="n" r="AF35">
        <x:v>11321</x:v>
      </x:c>
      <x:c t="n" r="AG35">
        <x:v>11078</x:v>
      </x:c>
      <x:c t="inlineStr" r="AH35"/>
      <x:c t="inlineStr" r="AI35"/>
      <x:c t="inlineStr" r="AJ35"/>
      <x:c t="inlineStr" r="AK35"/>
      <x:c t="inlineStr" r="AL35"/>
      <x:c t="inlineStr" r="AM35"/>
      <x:c t="inlineStr" r="AN35"/>
      <x:c t="n" r="AO35">
        <x:v>118</x:v>
      </x:c>
      <x:c t="n" r="AP35">
        <x:v>125</x:v>
      </x:c>
      <x:c t="n" r="AQ35">
        <x:v>119476</x:v>
      </x:c>
      <x:c t="inlineStr" r="AR35"/>
      <x:c t="inlineStr" r="AS35"/>
      <x:c t="inlineStr" r="AT35"/>
      <x:c t="n" r="AU35">
        <x:v>611576</x:v>
      </x:c>
      <x:c t="inlineStr" r="AV35"/>
      <x:c t="inlineStr" r="AW35">
        <x:is>
          <x:t/>
        </x:is>
      </x:c>
      <x:c t="inlineStr" r="AX35">
        <x:is>
          <x:t>vehicle,car,skin</x:t>
        </x:is>
      </x:c>
      <x:c t="inlineStr" r="AY35">
        <x:is>
          <x:t/>
        </x:is>
      </x:c>
      <x:c t="inlineStr" r="AZ35">
        <x:is>
          <x:t>man</x:t>
        </x:is>
      </x:c>
      <x:c t="inlineStr" r="BA35">
        <x:is>
          <x:t>standing</x:t>
        </x:is>
      </x:c>
      <x:c t="inlineStr" r="BB35">
        <x:is>
          <x:t>PHOTO</x:t>
        </x:is>
      </x:c>
      <x:c t="inlineStr" r="BC35"/>
      <x:c t="inlineStr" r="BD35">
        <x:is>
          <x:t>https://scontent-ams2-1.cdninstagram.com/v/t51.82787-15/790880755_18620352910014839_233407599871671737_n.jpg?stp=dst-jpg_e35_tt6&amp;_nc_cat=110&amp;ccb=7-5&amp;_nc_sid=18de74&amp;efg=eyJlZmdfdGFnIjoiQ0xJUFMuYmVzdF9pbWFnZV91cmxnZW4uQzMifQ%3D%3D&amp;_nc_ohc=OLiXBYUFpKkQ7kNvwG6IqXp&amp;_nc_oc=AdrJs32XK-1v5idRNrLR7Wvzn5O_E8gRNOrVMnBNHBccCWFJbKjvyLXMtot1rWRPnzQ&amp;_nc_zt=23&amp;_nc_ht=scontent-ams2-1.cdninstagram.com&amp;edm=AJ7ooaQEAAAA&amp;_nc_gid=qVelIKX7zFwyWfqXWVQKpA&amp;_nc_tpa=Q5bMBQJgR1bcYjfkktgaDHgDDp3OrMALimfNzroOxyjMfWDkQui7ToxjyXv_FPqkk_8IBesQ6UPHHG5T0A&amp;oh=00_AQLAtabE454IDutGufoZ6D6HNY-USkj04BihUd4hf275iA&amp;oe=6A9BF8A7</x:t>
        </x:is>
      </x:c>
      <x:c t="inlineStr" r="BE35">
        <x:is>
          <x:t/>
        </x:is>
      </x:c>
      <x:c t="inlineStr" r="BF35">
        <x:is>
          <x:t>Não</x:t>
        </x:is>
      </x:c>
      <x:c t="inlineStr" r="BG35"/>
      <x:c t="inlineStr" r="BH35">
        <x:is>
          <x:t/>
        </x:is>
      </x:c>
      <x:c t="inlineStr" r="BI35">
        <x:is>
          <x:t>WOM</x:t>
        </x:is>
      </x:c>
      <x:c t="inlineStr" r="BJ35">
        <x:is>
          <x:t>Resgatei até meu ingresso pro Rock in Rio no Km de Vantagens, graças à ipiranga, patrocinadora oficial do Rock in Rio Brasil 2026 🎸🔥 •publi</x:t>
        </x:is>
      </x:c>
      <x:c t="inlineStr" r="BK35">
        <x:is>
          <x:t>Ipiranga,App KMV,Rock In Rio</x:t>
        </x:is>
      </x:c>
      <x:c t="inlineStr" r="BL35"/>
      <x:c t="inlineStr" r="BM35"/>
      <x:c t="inlineStr" r="BN35"/>
      <x:c t="inlineStr" r="BO35"/>
      <x:c t="inlineStr" r="BP35"/>
      <x:c t="inlineStr" r="BQ35"/>
      <x:c t="inlineStr" r="BR35"/>
      <x:c t="inlineStr" r="BS35"/>
      <x:c t="inlineStr" r="BT35"/>
      <x:c t="inlineStr" r="BU35"/>
      <x:c t="inlineStr" r="BV35"/>
      <x:c t="inlineStr" r="BW35"/>
      <x:c t="inlineStr" r="BX35"/>
      <x:c t="inlineStr" r="BY35"/>
      <x:c t="inlineStr" r="BZ35">
        <x:is>
          <x:t>Ipiranga</x:t>
        </x:is>
      </x:c>
      <x:c t="inlineStr" r="CA35"/>
      <x:c t="inlineStr" r="CB35"/>
      <x:c t="inlineStr" r="CC35"/>
      <x:c t="inlineStr" r="CD35">
        <x:is>
          <x:t>App KMV</x:t>
        </x:is>
      </x:c>
      <x:c t="inlineStr" r="CE35">
        <x:is>
          <x:t>Rock In Rio</x:t>
        </x:is>
      </x:c>
      <x:c t="inlineStr" r="CF35"/>
    </x:row>
    <x:row r="36">
      <x:c t="n" r="A36">
        <x:v>2241788821</x:v>
      </x:c>
      <x:c t="inlineStr" r="B36">
        <x:is>
          <x:t>31.08.2026</x:t>
        </x:is>
      </x:c>
      <x:c t="inlineStr" r="C36">
        <x:is>
          <x:t>16:54</x:t>
        </x:is>
      </x:c>
      <x:c t="inlineStr" r="D36">
        <x:is>
          <x:t>31.08.2026 18:03</x:t>
        </x:is>
      </x:c>
      <x:c t="inlineStr" r="E36">
        <x:is>
          <x:t/>
        </x:is>
      </x:c>
      <x:c t="str" r="F36">
        <x:v>FALTA POUCO PARA O ROCK IN RIO! 🎸✨
Já salva esse guia com dicas de transporte, app, o que levar, look, como aproveitar além dos shows e, claro… os brindes de algumas marcas que vão rolar pela Cidade do Rock ⬇️
cea_brasil 
3coracoes 
timbrasil 
philcobrasil 
tictacbrasil 
valenobrasil 
ipiranga 
itau 
drogariavenancio 
ifoodbrasil 
vwbrasil 
cif.limpadores 
preventsenior 
googlegemini 
prudentialdobrasil 
dhlbrasil 
cocacola_br cocacolaandina_br 
trident_brasil 
movidaalugueldecarros 
Qual brinde e show vocês estão mais animados?
rockinrio 
#rockinrio #rockinrio2026</x:v>
      </x:c>
      <x:c t="inlineStr" r="G36">
        <x:is>
          <x:t/>
        </x:is>
      </x:c>
      <x:c t="inlineStr" r="H36"/>
      <x:c t="inlineStr" r="I36">
        <x:is>
          <x:t>Postar</x:t>
        </x:is>
      </x:c>
      <x:c t="inlineStr" r="J36">
        <x:is>
          <x:t>Texto,Álbum</x:t>
        </x:is>
      </x:c>
      <x:c t="inlineStr" r="K36"/>
      <x:c r="L36">
        <x:f>HYPERLINK("https://www.instagram.com/p/Dct4n04j5Zs/")</x:f>
      </x:c>
      <x:c t="inlineStr" r="M36">
        <x:is>
          <x:t>Negativo</x:t>
        </x:is>
      </x:c>
      <x:c t="inlineStr" r="N36">
        <x:is>
          <x:t>Viajantes | Viagem | Turismo</x:t>
        </x:is>
      </x:c>
      <x:c t="inlineStr" r="O36">
        <x:is>
          <x:t>viiajantes</x:t>
        </x:is>
      </x:c>
      <x:c r="P36">
        <x:f>HYPERLINK("https://www.instagram.com/viiajantes/")</x:f>
      </x:c>
      <x:c t="n" r="Q36">
        <x:v>158170</x:v>
      </x:c>
      <x:c t="inlineStr" r="R36"/>
      <x:c t="inlineStr" r="S36"/>
      <x:c t="inlineStr" r="T36">
        <x:is>
          <x:t>instagram.com</x:t>
        </x:is>
      </x:c>
      <x:c t="inlineStr" r="U36">
        <x:is>
          <x:t>Viajantes | Viagem | Turismo</x:t>
        </x:is>
      </x:c>
      <x:c r="V36">
        <x:f>HYPERLINK("https://www.instagram.com/viiajantes/")</x:f>
      </x:c>
      <x:c t="n" r="W36">
        <x:v>158170</x:v>
      </x:c>
      <x:c t="inlineStr" r="X36"/>
      <x:c t="inlineStr" r="Y36">
        <x:is>
          <x:t>Rede social</x:t>
        </x:is>
      </x:c>
      <x:c t="inlineStr" r="Z36">
        <x:is>
          <x:t>Português</x:t>
        </x:is>
      </x:c>
      <x:c t="inlineStr" r="AA36"/>
      <x:c t="inlineStr" r="AB36"/>
      <x:c t="inlineStr" r="AC36"/>
      <x:c t="inlineStr" r="AD36"/>
      <x:c t="n" r="AE36">
        <x:v>478</x:v>
      </x:c>
      <x:c t="n" r="AF36">
        <x:v>865</x:v>
      </x:c>
      <x:c t="n" r="AG36">
        <x:v>478</x:v>
      </x:c>
      <x:c t="inlineStr" r="AH36"/>
      <x:c t="inlineStr" r="AI36"/>
      <x:c t="inlineStr" r="AJ36"/>
      <x:c t="inlineStr" r="AK36"/>
      <x:c t="inlineStr" r="AL36"/>
      <x:c t="inlineStr" r="AM36"/>
      <x:c t="inlineStr" r="AN36"/>
      <x:c t="n" r="AO36">
        <x:v>14</x:v>
      </x:c>
      <x:c t="n" r="AP36">
        <x:v>373</x:v>
      </x:c>
      <x:c t="inlineStr" r="AQ36"/>
      <x:c t="inlineStr" r="AR36"/>
      <x:c t="inlineStr" r="AS36"/>
      <x:c t="inlineStr" r="AT36"/>
      <x:c t="n" r="AU36">
        <x:v>158170</x:v>
      </x:c>
      <x:c t="inlineStr" r="AV36"/>
      <x:c t="inlineStr" r="AW36">
        <x:is>
          <x:t/>
        </x:is>
      </x:c>
      <x:c t="inlineStr" r="AX36">
        <x:is>
          <x:t>text,sculpture,statue,sky,fictional character,poster</x:t>
        </x:is>
      </x:c>
      <x:c t="inlineStr" r="AY36">
        <x:is>
          <x:t>outdoor</x:t>
        </x:is>
      </x:c>
      <x:c t="inlineStr" r="AZ36">
        <x:is>
          <x:t/>
        </x:is>
      </x:c>
      <x:c t="inlineStr" r="BA36">
        <x:is>
          <x:t/>
        </x:is>
      </x:c>
      <x:c t="inlineStr" r="BB36">
        <x:is>
          <x:t>ILLUSTRATION</x:t>
        </x:is>
      </x:c>
      <x:c t="inlineStr" r="BC36">
        <x:is>
          <x:t>photo caption</x:t>
        </x:is>
      </x:c>
      <x:c t="inlineStr" r="BD36">
        <x:is>
          <x:t>https://scontent-ams2-1.cdninstagram.com/v/t51.82787-15/788170617_18005527274994282_8685587784065051673_n.jpg?stp=dst-jpg_e35_tt6&amp;_nc_cat=102&amp;ccb=7-5&amp;_nc_sid=18de74&amp;efg=eyJlZmdfdGFnIjoiQ0FST1VTRUxfSVRFTS5iZXN0X2ltYWdlX3VybGdlbi5DMyJ9&amp;_nc_ohc=epQDI0eA2V4Q7kNvwEpo3ly&amp;_nc_oc=Adp0x7sXPHsKewimgPuo2d985dCAxfQSpUct0dREDhIqZybEiQoftQ8pTkszwG3kN18&amp;_nc_zt=23&amp;_nc_ht=scontent-ams2-1.cdninstagram.com&amp;edm=AL-3X8kEAAAA&amp;_nc_gid=-PYsAqNgrM3epBmr6ZeO9g&amp;oh=00_AQJxKsC4A85o7mg2UsuNoh5rL-tTFFARsVYk11ovB8s6PQ&amp;oe=6A9BD021</x:t>
        </x:is>
      </x:c>
      <x:c t="inlineStr" r="BE36">
        <x:is>
          <x:t/>
        </x:is>
      </x:c>
      <x:c t="inlineStr" r="BF36">
        <x:is>
          <x:t>Não</x:t>
        </x:is>
      </x:c>
      <x:c t="inlineStr" r="BG36"/>
      <x:c t="inlineStr" r="BH36">
        <x:is>
          <x:t/>
        </x:is>
      </x:c>
      <x:c t="inlineStr" r="BI36">
        <x:is>
          <x:t>Promoção</x:t>
        </x:is>
      </x:c>
      <x:c t="inlineStr" r="BJ36">
        <x:is>
          <x:t>Ao resgatar seus ingressos de gramado pelo app KMV, você ainda ganha R$ 100 em vale-combustível</x:t>
        </x:is>
      </x:c>
      <x:c t="inlineStr" r="BK36">
        <x:is>
          <x:t>Ipiranga,App KMV,Rock In Rio</x:t>
        </x:is>
      </x:c>
      <x:c t="inlineStr" r="BL36"/>
      <x:c t="inlineStr" r="BM36"/>
      <x:c t="inlineStr" r="BN36"/>
      <x:c t="inlineStr" r="BO36"/>
      <x:c t="inlineStr" r="BP36"/>
      <x:c t="inlineStr" r="BQ36"/>
      <x:c t="inlineStr" r="BR36"/>
      <x:c t="inlineStr" r="BS36"/>
      <x:c t="inlineStr" r="BT36"/>
      <x:c t="inlineStr" r="BU36"/>
      <x:c t="inlineStr" r="BV36"/>
      <x:c t="inlineStr" r="BW36"/>
      <x:c t="inlineStr" r="BX36"/>
      <x:c t="inlineStr" r="BY36"/>
      <x:c t="inlineStr" r="BZ36">
        <x:is>
          <x:t>Ipiranga</x:t>
        </x:is>
      </x:c>
      <x:c t="inlineStr" r="CA36"/>
      <x:c t="inlineStr" r="CB36"/>
      <x:c t="inlineStr" r="CC36"/>
      <x:c t="inlineStr" r="CD36">
        <x:is>
          <x:t>App KMV</x:t>
        </x:is>
      </x:c>
      <x:c t="inlineStr" r="CE36">
        <x:is>
          <x:t>Rock In Rio</x:t>
        </x:is>
      </x:c>
      <x:c t="inlineStr" r="CF36"/>
    </x:row>
    <x:row r="37">
      <x:c t="n" r="A37">
        <x:v>1324868276</x:v>
      </x:c>
      <x:c t="inlineStr" r="B37">
        <x:is>
          <x:t>31.08.2026</x:t>
        </x:is>
      </x:c>
      <x:c t="inlineStr" r="C37">
        <x:is>
          <x:t>16:02</x:t>
        </x:is>
      </x:c>
      <x:c t="inlineStr" r="D37">
        <x:is>
          <x:t>01.09.2026 00:19</x:t>
        </x:is>
      </x:c>
      <x:c t="inlineStr" r="E37">
        <x:is>
          <x:t/>
        </x:is>
      </x:c>
      <x:c t="str" r="F37">
        <x:v>Ainda está sem ingresso para o Rock in Rio Brasil 2026? Então se liga essa oportunidade! 
No dia 1º de setembro, a Ipiranga realiza no Rio de Janeiro uma blitz especial em parceria com a Rádio Mix, no Posto Barra da Tijuca. Das 9h às 12h, quem abastecer a partir de R$ 200 com Ipimax e pagar pelo KM de vantagens, leva 1 ingresso de gramado para curtir o festival. 🎸
A ação acontece exclusivamente no Posto Barra da Tijuca, localizado na Avenida das Américas, 10495, e é limitada a 300 ingressos. Por isso, vale chegar cedo nessa Parada Completa para garantir o seu lugar na Cidade do Rock. 🤘🏽 
Promoção válida em 01/09/2026. SPA/ME nº 02.052194/2026. Consulte o regulamento no site (link na bio).
—
#IpirangaNoRockinRio #ParadaCompleta
#Publicidade</x:v>
      </x:c>
      <x:c t="inlineStr" r="G37">
        <x:is>
          <x:t/>
        </x:is>
      </x:c>
      <x:c t="inlineStr" r="H37"/>
      <x:c t="inlineStr" r="I37">
        <x:is>
          <x:t>Postar</x:t>
        </x:is>
      </x:c>
      <x:c t="inlineStr" r="J37">
        <x:is>
          <x:t>Texto,Álbum,Imagem</x:t>
        </x:is>
      </x:c>
      <x:c t="inlineStr" r="K37"/>
      <x:c r="L37">
        <x:f>HYPERLINK("https://www.instagram.com/p/DctypUkGWzT/")</x:f>
      </x:c>
      <x:c t="inlineStr" r="M37">
        <x:is>
          <x:t>Negativo</x:t>
        </x:is>
      </x:c>
      <x:c t="inlineStr" r="N37">
        <x:is>
          <x:t>Mais Brasil - Sua fonte diária de cultura brasileira 🇧🇷</x:t>
        </x:is>
      </x:c>
      <x:c t="inlineStr" r="O37">
        <x:is>
          <x:t>maisbrasil</x:t>
        </x:is>
      </x:c>
      <x:c r="P37">
        <x:f>HYPERLINK("http://instagram.com/maisbrasil")</x:f>
      </x:c>
      <x:c t="n" r="Q37">
        <x:v>1982105</x:v>
      </x:c>
      <x:c t="inlineStr" r="R37">
        <x:is>
          <x:t>Mulher</x:t>
        </x:is>
      </x:c>
      <x:c t="inlineStr" r="S37"/>
      <x:c t="inlineStr" r="T37">
        <x:is>
          <x:t>instagram.com</x:t>
        </x:is>
      </x:c>
      <x:c t="inlineStr" r="U37">
        <x:is>
          <x:t>Mais Brasil - Sua fonte diária de cultura brasileira 🇧🇷</x:t>
        </x:is>
      </x:c>
      <x:c r="V37">
        <x:f>HYPERLINK("http://instagram.com/maisbrasil")</x:f>
      </x:c>
      <x:c t="n" r="W37">
        <x:v>1982105</x:v>
      </x:c>
      <x:c t="inlineStr" r="X37"/>
      <x:c t="inlineStr" r="Y37">
        <x:is>
          <x:t>Rede social</x:t>
        </x:is>
      </x:c>
      <x:c t="inlineStr" r="Z37">
        <x:is>
          <x:t>Português</x:t>
        </x:is>
      </x:c>
      <x:c t="inlineStr" r="AA37"/>
      <x:c t="inlineStr" r="AB37"/>
      <x:c t="inlineStr" r="AC37"/>
      <x:c t="inlineStr" r="AD37"/>
      <x:c t="n" r="AE37">
        <x:v>2316</x:v>
      </x:c>
      <x:c t="n" r="AF37">
        <x:v>2428</x:v>
      </x:c>
      <x:c t="n" r="AG37">
        <x:v>2316</x:v>
      </x:c>
      <x:c t="inlineStr" r="AH37"/>
      <x:c t="inlineStr" r="AI37"/>
      <x:c t="inlineStr" r="AJ37"/>
      <x:c t="inlineStr" r="AK37"/>
      <x:c t="inlineStr" r="AL37"/>
      <x:c t="inlineStr" r="AM37"/>
      <x:c t="inlineStr" r="AN37"/>
      <x:c t="n" r="AO37">
        <x:v>112</x:v>
      </x:c>
      <x:c t="inlineStr" r="AP37"/>
      <x:c t="inlineStr" r="AQ37"/>
      <x:c t="inlineStr" r="AR37"/>
      <x:c t="inlineStr" r="AS37"/>
      <x:c t="inlineStr" r="AT37"/>
      <x:c t="n" r="AU37">
        <x:v>1982105</x:v>
      </x:c>
      <x:c t="inlineStr" r="AV37"/>
      <x:c t="inlineStr" r="AW37">
        <x:is>
          <x:t>Ipiranga,Ipimax</x:t>
        </x:is>
      </x:c>
      <x:c t="inlineStr" r="AX37">
        <x:is>
          <x:t>text,sky,signage</x:t>
        </x:is>
      </x:c>
      <x:c t="inlineStr" r="AY37">
        <x:is>
          <x:t>outdoor</x:t>
        </x:is>
      </x:c>
      <x:c t="inlineStr" r="AZ37">
        <x:is>
          <x:t/>
        </x:is>
      </x:c>
      <x:c t="inlineStr" r="BA37">
        <x:is>
          <x:t/>
        </x:is>
      </x:c>
      <x:c t="inlineStr" r="BB37">
        <x:is>
          <x:t>ILLUSTRATION</x:t>
        </x:is>
      </x:c>
      <x:c t="inlineStr" r="BC37">
        <x:is>
          <x:t>advertising</x:t>
        </x:is>
      </x:c>
      <x:c t="inlineStr" r="BD37">
        <x:is>
          <x:t>https://scontent-cdg6-1.cdninstagram.com/v/t51.82787-15/790024544_18616513342052818_3828860163156941783_n.jpg?stp=dst-jpg_e35_tt6&amp;_nc_cat=103&amp;ig_cache_key=Mzk3NjA1NjUyMzA0NTc5OTUwMA%3D%3D.3-ccb7-5&amp;ccb=7-5&amp;_nc_sid=58cdad&amp;efg=eyJ2ZW5jb2RlX3RhZyI6IkNBUk9VU0VMX0lURU0ueHBpZHMuOTYwLnNkci5yZWd1bGFyX3Bob3RvLkMzIn0%3D&amp;_nc_ohc=vBB5iS0BiXUQ7kNvwGvCMro&amp;_nc_oc=AdqkAKMcjBM2i8F3iQNg7VqaDXQnNeqsfaOKVouuamaYFDMxO3DFHd651i6jOuY5tKY&amp;_nc_zt=23&amp;_nc_ht=scontent-cdg6-1.cdninstagram.com&amp;_nc_gid=WcQ5QVYdc5RC2qJZV6NHBA&amp;_nc_ss=70289&amp;oh=00_AQKPpx3KCbYDeG52ER3p1h532ZT-tH7BSUwegANDgvaWMw&amp;oe=6A9C0476</x:t>
        </x:is>
      </x:c>
      <x:c t="inlineStr" r="BE37">
        <x:is>
          <x:t/>
        </x:is>
      </x:c>
      <x:c t="inlineStr" r="BF37">
        <x:is>
          <x:t>Não</x:t>
        </x:is>
      </x:c>
      <x:c t="inlineStr" r="BG37"/>
      <x:c t="inlineStr" r="BH37">
        <x:is>
          <x:t>Acontecimento</x:t>
        </x:is>
      </x:c>
      <x:c t="inlineStr" r="BI37">
        <x:is>
          <x:t/>
        </x:is>
      </x:c>
      <x:c t="inlineStr" r="BJ37">
        <x:is>
          <x:t>O Rock in Rio começa semana que vem e por aqui a ansiedade já está ON!</x:t>
        </x:is>
      </x:c>
      <x:c t="inlineStr" r="BK37">
        <x:is>
          <x:t>Ipimax,Campanha: Parada Completa,Ipiranga,App KMV,Rock In Rio</x:t>
        </x:is>
      </x:c>
      <x:c t="inlineStr" r="BL37"/>
      <x:c t="inlineStr" r="BM37"/>
      <x:c t="inlineStr" r="BN37"/>
      <x:c t="inlineStr" r="BO37"/>
      <x:c t="inlineStr" r="BP37"/>
      <x:c t="inlineStr" r="BQ37"/>
      <x:c t="inlineStr" r="BR37"/>
      <x:c t="inlineStr" r="BS37"/>
      <x:c t="inlineStr" r="BT37"/>
      <x:c t="inlineStr" r="BU37"/>
      <x:c t="inlineStr" r="BV37"/>
      <x:c t="inlineStr" r="BW37">
        <x:is>
          <x:t>Ipimax</x:t>
        </x:is>
      </x:c>
      <x:c t="inlineStr" r="BX37"/>
      <x:c t="inlineStr" r="BY37">
        <x:is>
          <x:t>Campanha: Parada Completa</x:t>
        </x:is>
      </x:c>
      <x:c t="inlineStr" r="BZ37">
        <x:is>
          <x:t>Ipiranga</x:t>
        </x:is>
      </x:c>
      <x:c t="inlineStr" r="CA37"/>
      <x:c t="inlineStr" r="CB37"/>
      <x:c t="inlineStr" r="CC37"/>
      <x:c t="inlineStr" r="CD37">
        <x:is>
          <x:t>App KMV</x:t>
        </x:is>
      </x:c>
      <x:c t="inlineStr" r="CE37">
        <x:is>
          <x:t>Rock In Rio</x:t>
        </x:is>
      </x:c>
      <x:c t="inlineStr" r="CF37"/>
    </x:row>
    <x:row r="38">
      <x:c t="n" r="A38">
        <x:v>1203593536</x:v>
      </x:c>
      <x:c t="inlineStr" r="B38">
        <x:is>
          <x:t>31.08.2026</x:t>
        </x:is>
      </x:c>
      <x:c t="inlineStr" r="C38">
        <x:is>
          <x:t>16:00</x:t>
        </x:is>
      </x:c>
      <x:c t="inlineStr" r="D38">
        <x:is>
          <x:t>31.08.2026 16:03</x:t>
        </x:is>
      </x:c>
      <x:c t="inlineStr" r="E38">
        <x:is>
          <x:t/>
        </x:is>
      </x:c>
      <x:c t="str" r="F38">
        <x:v>Entendendo as estratégias dos patrocinadores do Rock in Rio 🎸
#1 - Ipiranga
A marca, que leva a brasilidade no nome, patrocina o festival há mais de 10 edições.
Em entrevista exclusiva, Julio Sattamini, vice-Presidente de Marketing e Negócios da Ipiranga, detalhou as ações🧶</x:v>
      </x:c>
      <x:c t="inlineStr" r="G38">
        <x:is>
          <x:t/>
        </x:is>
      </x:c>
      <x:c t="inlineStr" r="H38"/>
      <x:c t="inlineStr" r="I38">
        <x:is>
          <x:t>Postar</x:t>
        </x:is>
      </x:c>
      <x:c t="inlineStr" r="J38">
        <x:is>
          <x:t>Imagem,Texto</x:t>
        </x:is>
      </x:c>
      <x:c t="inlineStr" r="K38"/>
      <x:c r="L38">
        <x:f>HYPERLINK("https://x.com/sauulojunior/status/2094500472606412940")</x:f>
      </x:c>
      <x:c t="inlineStr" r="M38">
        <x:is>
          <x:t>Negativo</x:t>
        </x:is>
      </x:c>
      <x:c t="inlineStr" r="N38">
        <x:is>
          <x:t>Saulo Junior</x:t>
        </x:is>
      </x:c>
      <x:c t="inlineStr" r="O38">
        <x:is>
          <x:t>sauulojunior</x:t>
        </x:is>
      </x:c>
      <x:c r="P38">
        <x:f>HYPERLINK("http://x.com/sauulojunior")</x:f>
      </x:c>
      <x:c t="n" r="Q38">
        <x:v>2722</x:v>
      </x:c>
      <x:c t="inlineStr" r="R38">
        <x:is>
          <x:t>Homem</x:t>
        </x:is>
      </x:c>
      <x:c t="inlineStr" r="S38"/>
      <x:c t="inlineStr" r="T38">
        <x:is>
          <x:t>x.com</x:t>
        </x:is>
      </x:c>
      <x:c t="inlineStr" r="U38"/>
      <x:c t="inlineStr" r="V38"/>
      <x:c t="inlineStr" r="W38"/>
      <x:c t="inlineStr" r="X38"/>
      <x:c t="inlineStr" r="Y38">
        <x:is>
          <x:t>Rede social</x:t>
        </x:is>
      </x:c>
      <x:c t="inlineStr" r="Z38">
        <x:is>
          <x:t>Português</x:t>
        </x:is>
      </x:c>
      <x:c t="inlineStr" r="AA38"/>
      <x:c t="inlineStr" r="AB38"/>
      <x:c t="inlineStr" r="AC38"/>
      <x:c t="inlineStr" r="AD38"/>
      <x:c t="n" r="AE38">
        <x:v>1</x:v>
      </x:c>
      <x:c t="n" r="AF38">
        <x:v>2</x:v>
      </x:c>
      <x:c t="n" r="AG38">
        <x:v>1</x:v>
      </x:c>
      <x:c t="inlineStr" r="AH38"/>
      <x:c t="inlineStr" r="AI38"/>
      <x:c t="inlineStr" r="AJ38"/>
      <x:c t="inlineStr" r="AK38"/>
      <x:c t="inlineStr" r="AL38"/>
      <x:c t="inlineStr" r="AM38"/>
      <x:c t="inlineStr" r="AN38"/>
      <x:c t="n" r="AO38">
        <x:v>1</x:v>
      </x:c>
      <x:c t="n" r="AP38">
        <x:v>0</x:v>
      </x:c>
      <x:c t="n" r="AQ38">
        <x:v>241</x:v>
      </x:c>
      <x:c t="inlineStr" r="AR38"/>
      <x:c t="inlineStr" r="AS38"/>
      <x:c t="n" r="AT38">
        <x:v>1</x:v>
      </x:c>
      <x:c t="n" r="AU38">
        <x:v>2722</x:v>
      </x:c>
      <x:c t="inlineStr" r="AV38"/>
      <x:c t="inlineStr" r="AW38">
        <x:is>
          <x:t/>
        </x:is>
      </x:c>
      <x:c t="inlineStr" r="AX38">
        <x:is>
          <x:t>sky,building,lighting,signage</x:t>
        </x:is>
      </x:c>
      <x:c t="inlineStr" r="AY38">
        <x:is>
          <x:t>night,outdoor</x:t>
        </x:is>
      </x:c>
      <x:c t="inlineStr" r="AZ38">
        <x:is>
          <x:t/>
        </x:is>
      </x:c>
      <x:c t="inlineStr" r="BA38">
        <x:is>
          <x:t/>
        </x:is>
      </x:c>
      <x:c t="inlineStr" r="BB38">
        <x:is>
          <x:t>PHOTO</x:t>
        </x:is>
      </x:c>
      <x:c t="inlineStr" r="BC38"/>
      <x:c r="BD38">
        <x:f>HYPERLINK("https://pbs.twimg.com/media/HREk9xbWQAAk2uj.jpg")</x:f>
      </x:c>
      <x:c t="inlineStr" r="BE38">
        <x:is>
          <x:t/>
        </x:is>
      </x:c>
      <x:c t="inlineStr" r="BF38">
        <x:is>
          <x:t>Não</x:t>
        </x:is>
      </x:c>
      <x:c t="inlineStr" r="BG38"/>
      <x:c t="inlineStr" r="BH38">
        <x:is>
          <x:t/>
        </x:is>
      </x:c>
      <x:c t="inlineStr" r="BI38">
        <x:is>
          <x:t>Promoção</x:t>
        </x:is>
      </x:c>
      <x:c t="inlineStr" r="BJ38"/>
      <x:c t="inlineStr" r="BK38">
        <x:is>
          <x:t>Ipiranga,Rock In Rio</x:t>
        </x:is>
      </x:c>
      <x:c t="inlineStr" r="BL38"/>
      <x:c t="inlineStr" r="BM38"/>
      <x:c t="inlineStr" r="BN38"/>
      <x:c t="inlineStr" r="BO38"/>
      <x:c t="inlineStr" r="BP38"/>
      <x:c t="inlineStr" r="BQ38"/>
      <x:c t="inlineStr" r="BR38"/>
      <x:c t="inlineStr" r="BS38"/>
      <x:c t="inlineStr" r="BT38"/>
      <x:c t="inlineStr" r="BU38"/>
      <x:c t="inlineStr" r="BV38"/>
      <x:c t="inlineStr" r="BW38"/>
      <x:c t="inlineStr" r="BX38"/>
      <x:c t="inlineStr" r="BY38"/>
      <x:c t="inlineStr" r="BZ38">
        <x:is>
          <x:t>Ipiranga</x:t>
        </x:is>
      </x:c>
      <x:c t="inlineStr" r="CA38"/>
      <x:c t="inlineStr" r="CB38"/>
      <x:c t="inlineStr" r="CC38"/>
      <x:c t="inlineStr" r="CD38"/>
      <x:c t="inlineStr" r="CE38">
        <x:is>
          <x:t>Rock In Rio</x:t>
        </x:is>
      </x:c>
      <x:c t="inlineStr" r="CF38"/>
    </x:row>
    <x:row r="39">
      <x:c t="n" r="A39">
        <x:v>3246006568</x:v>
      </x:c>
      <x:c t="inlineStr" r="B39">
        <x:is>
          <x:t>31.08.2026</x:t>
        </x:is>
      </x:c>
      <x:c t="inlineStr" r="C39">
        <x:is>
          <x:t>15:40</x:t>
        </x:is>
      </x:c>
      <x:c t="inlineStr" r="D39">
        <x:is>
          <x:t>02.09.2026 14:12</x:t>
        </x:is>
      </x:c>
      <x:c t="inlineStr" r="E39">
        <x:is>
          <x:t/>
        </x:is>
      </x:c>
      <x:c t="str" r="F39">
        <x:v>POV: eu esperando pra descobrir qual dessas marcas vai realizar meu sonho e me dar um ingresso pro dia 13 do Rock in Rio pra ver Twenty One Pilots 👀🎫 Eu já tentei comprar. Eu já pedi. Agora só me resta manifestar. 😂 @itau @cocacola @ifood @cea_brasil @timbrasil @naturabrasil @kitkatbrasil @volkswagenbrasil @ipiranga @philcobrasil @latambrasil @tridentbrasil @3coracoes @movida @superbet @chillibeans @cifbrasil Uma dessas marcas vai ter que sentir o chamado. 😂🙏 #RockInRio #RockInRio2026 #TwentyOnePilots #TØP #TwentyOnePilotsNoRockInRio 
Eu vendo qual dessas marcas vai ser a primeira a me dar 1 ingresso pra assistir o show do twenty one pilots no Rock in Rio dia 13</x:v>
      </x:c>
      <x:c t="inlineStr" r="G39">
        <x:is>
          <x:t/>
        </x:is>
      </x:c>
      <x:c t="inlineStr" r="H39"/>
      <x:c t="inlineStr" r="I39">
        <x:is>
          <x:t>Postar</x:t>
        </x:is>
      </x:c>
      <x:c t="inlineStr" r="J39">
        <x:is>
          <x:t>Vídeo,Texto,Adesivos</x:t>
        </x:is>
      </x:c>
      <x:c t="inlineStr" r="K39"/>
      <x:c r="L39">
        <x:f>HYPERLINK("https://www.tiktok.com/@igorbittencourt67/video/7680267528295173377")</x:f>
      </x:c>
      <x:c t="inlineStr" r="M39">
        <x:is>
          <x:t>Negativo</x:t>
        </x:is>
      </x:c>
      <x:c t="inlineStr" r="N39">
        <x:is>
          <x:t>Igor Bittencourt</x:t>
        </x:is>
      </x:c>
      <x:c t="inlineStr" r="O39">
        <x:is>
          <x:t>igorbittencourt67</x:t>
        </x:is>
      </x:c>
      <x:c r="P39">
        <x:f>HYPERLINK("https://www.tiktok.com/share/user/6962004756827735046")</x:f>
      </x:c>
      <x:c t="n" r="Q39">
        <x:v>176</x:v>
      </x:c>
      <x:c t="inlineStr" r="R39">
        <x:is>
          <x:t>Homem</x:t>
        </x:is>
      </x:c>
      <x:c t="inlineStr" r="S39"/>
      <x:c t="inlineStr" r="T39">
        <x:is>
          <x:t>tiktok.com</x:t>
        </x:is>
      </x:c>
      <x:c t="inlineStr" r="U39">
        <x:is>
          <x:t>Igor Bittencourt</x:t>
        </x:is>
      </x:c>
      <x:c r="V39">
        <x:f>HYPERLINK("https://www.tiktok.com/share/user/6962004756827735046")</x:f>
      </x:c>
      <x:c t="n" r="W39">
        <x:v>176</x:v>
      </x:c>
      <x:c t="inlineStr" r="X39"/>
      <x:c t="inlineStr" r="Y39">
        <x:is>
          <x:t>Rede social</x:t>
        </x:is>
      </x:c>
      <x:c t="inlineStr" r="Z39">
        <x:is>
          <x:t>Português</x:t>
        </x:is>
      </x:c>
      <x:c t="inlineStr" r="AA39">
        <x:is>
          <x:t>Brasil</x:t>
        </x:is>
      </x:c>
      <x:c t="inlineStr" r="AB39"/>
      <x:c t="inlineStr" r="AC39"/>
      <x:c t="inlineStr" r="AD39"/>
      <x:c t="n" r="AE39">
        <x:v>19</x:v>
      </x:c>
      <x:c t="n" r="AF39">
        <x:v>25</x:v>
      </x:c>
      <x:c t="n" r="AG39">
        <x:v>19</x:v>
      </x:c>
      <x:c t="inlineStr" r="AH39"/>
      <x:c t="inlineStr" r="AI39"/>
      <x:c t="inlineStr" r="AJ39"/>
      <x:c t="inlineStr" r="AK39"/>
      <x:c t="inlineStr" r="AL39"/>
      <x:c t="inlineStr" r="AM39"/>
      <x:c t="inlineStr" r="AN39"/>
      <x:c t="n" r="AO39">
        <x:v>6</x:v>
      </x:c>
      <x:c t="n" r="AP39">
        <x:v>0</x:v>
      </x:c>
      <x:c t="n" r="AQ39">
        <x:v>562</x:v>
      </x:c>
      <x:c t="inlineStr" r="AR39"/>
      <x:c t="inlineStr" r="AS39"/>
      <x:c t="n" r="AT39">
        <x:v>0</x:v>
      </x:c>
      <x:c t="n" r="AU39">
        <x:v>176</x:v>
      </x:c>
      <x:c t="inlineStr" r="AV39"/>
      <x:c t="inlineStr" r="AW39">
        <x:is>
          <x:t>Kitkat,iFood,LATAM Airlines,CocaCola</x:t>
        </x:is>
      </x:c>
      <x:c t="inlineStr" r="AX39">
        <x:is>
          <x:t>text,clothing,facial hair,shirt</x:t>
        </x:is>
      </x:c>
      <x:c t="inlineStr" r="AY39">
        <x:is>
          <x:t/>
        </x:is>
      </x:c>
      <x:c t="inlineStr" r="AZ39">
        <x:is>
          <x:t>man</x:t>
        </x:is>
      </x:c>
      <x:c t="inlineStr" r="BA39">
        <x:is>
          <x:t/>
        </x:is>
      </x:c>
      <x:c t="inlineStr" r="BB39">
        <x:is>
          <x:t>ILLUSTRATION</x:t>
        </x:is>
      </x:c>
      <x:c t="inlineStr" r="BC39"/>
      <x:c t="inlineStr" r="BD39">
        <x:is>
          <x:t>https://p16-common-sign.tiktokcdn-eu.com/tos-alisg-p-0037/oAiynCiIIAw1J9SfUyiuVGSgdtSAWCARBAuIC4~tplv-tiktokx-origin.image?dr=10395&amp;x-expires=1788541200&amp;x-signature=FKu9obUQLhQZd8P40Q0JzoFAVyM%3D&amp;t=4d5b0474&amp;ps=13740610&amp;shp=81f88b70&amp;shcp=43f4a2f9&amp;idc=no1a</x:t>
        </x:is>
      </x:c>
      <x:c t="inlineStr" r="BE39">
        <x:is>
          <x:t/>
        </x:is>
      </x:c>
      <x:c t="inlineStr" r="BF39">
        <x:is>
          <x:t>Não</x:t>
        </x:is>
      </x:c>
      <x:c t="inlineStr" r="BG39"/>
      <x:c t="inlineStr" r="BH39">
        <x:is>
          <x:t/>
        </x:is>
      </x:c>
      <x:c t="inlineStr" r="BI39">
        <x:is>
          <x:t>Giveaway</x:t>
        </x:is>
      </x:c>
      <x:c t="inlineStr" r="BJ39"/>
      <x:c t="inlineStr" r="BK39">
        <x:is>
          <x:t>Ipiranga,Rock In Rio</x:t>
        </x:is>
      </x:c>
      <x:c t="inlineStr" r="BL39"/>
      <x:c t="inlineStr" r="BM39"/>
      <x:c t="inlineStr" r="BN39"/>
      <x:c t="inlineStr" r="BO39"/>
      <x:c t="inlineStr" r="BP39"/>
      <x:c t="inlineStr" r="BQ39"/>
      <x:c t="inlineStr" r="BR39"/>
      <x:c t="inlineStr" r="BS39"/>
      <x:c t="inlineStr" r="BT39"/>
      <x:c t="inlineStr" r="BU39"/>
      <x:c t="inlineStr" r="BV39"/>
      <x:c t="inlineStr" r="BW39"/>
      <x:c t="inlineStr" r="BX39"/>
      <x:c t="inlineStr" r="BY39"/>
      <x:c t="inlineStr" r="BZ39">
        <x:is>
          <x:t>Ipiranga</x:t>
        </x:is>
      </x:c>
      <x:c t="inlineStr" r="CA39"/>
      <x:c t="inlineStr" r="CB39"/>
      <x:c t="inlineStr" r="CC39"/>
      <x:c t="inlineStr" r="CD39"/>
      <x:c t="inlineStr" r="CE39">
        <x:is>
          <x:t>Rock In Rio</x:t>
        </x:is>
      </x:c>
      <x:c t="inlineStr" r="CF39"/>
    </x:row>
    <x:row r="40">
      <x:c t="n" r="A40">
        <x:v>3673116286</x:v>
      </x:c>
      <x:c t="inlineStr" r="B40">
        <x:is>
          <x:t>31.08.2026</x:t>
        </x:is>
      </x:c>
      <x:c t="inlineStr" r="C40">
        <x:is>
          <x:t>12:15</x:t>
        </x:is>
      </x:c>
      <x:c t="inlineStr" r="D40">
        <x:is>
          <x:t>31.08.2026 14:56</x:t>
        </x:is>
      </x:c>
      <x:c t="inlineStr" r="E40">
        <x:is>
          <x:t/>
        </x:is>
      </x:c>
      <x:c t="str" r="F40">
        <x:v>Uma festa no interior de São Paulo movimenta mais de meio bilhão de reais. Quase um milhão de pessoas em onze dias. É a Festa do Peão de Barretos.
E quem banca? Brahma, Ipiranga, Red Bull. Elas podiam jogar tudo em comercial de TV, mas escolhem o chão de terra do interior. Tem motivo.
Hoje ninguém presta atenção em anúncio. Aí aparece um lugar com um milhão de pessoas vivendo o dia mais feliz do ano. Isso não é plateia, é uma emoção que comercial nenhum compra.
E não é só no rodeio. É a Shakira, o Carnaval, o Rock in Rio. As marcas não patrocinam o evento, elas se penduram na emoção que já tá rolando.
Porque anúncio vende hoje e amanhã já era. Estar junto num momento que a pessoa guarda pra vida, isso constrói marca por anos.
E a tua marca? Só aparece quando quer vender, ou tá junto nos momentos que o teu cliente não esquece?
#empreendedorismo #negocios #vendas #ideiadenegocio</x:v>
      </x:c>
      <x:c t="inlineStr" r="G40">
        <x:is>
          <x:t/>
        </x:is>
      </x:c>
      <x:c t="inlineStr" r="H40"/>
      <x:c t="inlineStr" r="I40">
        <x:is>
          <x:t>Postar</x:t>
        </x:is>
      </x:c>
      <x:c t="inlineStr" r="J40">
        <x:is>
          <x:t>Texto,Vídeo</x:t>
        </x:is>
      </x:c>
      <x:c t="inlineStr" r="K40"/>
      <x:c r="L40">
        <x:f>HYPERLINK("https://www.instagram.com/p/DctYibAx3Vi/")</x:f>
      </x:c>
      <x:c t="inlineStr" r="M40">
        <x:is>
          <x:t>Negativo</x:t>
        </x:is>
      </x:c>
      <x:c t="inlineStr" r="N40">
        <x:is>
          <x:t>Raphael Mattos ⚡️</x:t>
        </x:is>
      </x:c>
      <x:c t="inlineStr" r="O40">
        <x:is>
          <x:t>raphaeldmattos</x:t>
        </x:is>
      </x:c>
      <x:c r="P40">
        <x:f>HYPERLINK("http://instagram.com/raphaeldmattos")</x:f>
      </x:c>
      <x:c t="n" r="Q40">
        <x:v>1020905</x:v>
      </x:c>
      <x:c t="inlineStr" r="R40">
        <x:is>
          <x:t>Homem</x:t>
        </x:is>
      </x:c>
      <x:c t="inlineStr" r="S40"/>
      <x:c t="inlineStr" r="T40">
        <x:is>
          <x:t>instagram.com</x:t>
        </x:is>
      </x:c>
      <x:c t="inlineStr" r="U40">
        <x:is>
          <x:t>Raphael Mattos ⚡️</x:t>
        </x:is>
      </x:c>
      <x:c r="V40">
        <x:f>HYPERLINK("http://instagram.com/raphaeldmattos")</x:f>
      </x:c>
      <x:c t="n" r="W40">
        <x:v>1020905</x:v>
      </x:c>
      <x:c t="inlineStr" r="X40"/>
      <x:c t="inlineStr" r="Y40">
        <x:is>
          <x:t>Rede social</x:t>
        </x:is>
      </x:c>
      <x:c t="inlineStr" r="Z40">
        <x:is>
          <x:t>Português</x:t>
        </x:is>
      </x:c>
      <x:c t="inlineStr" r="AA40"/>
      <x:c t="inlineStr" r="AB40"/>
      <x:c t="inlineStr" r="AC40"/>
      <x:c t="inlineStr" r="AD40"/>
      <x:c t="n" r="AE40">
        <x:v>749</x:v>
      </x:c>
      <x:c t="n" r="AF40">
        <x:v>765</x:v>
      </x:c>
      <x:c t="n" r="AG40">
        <x:v>749</x:v>
      </x:c>
      <x:c t="inlineStr" r="AH40"/>
      <x:c t="inlineStr" r="AI40"/>
      <x:c t="inlineStr" r="AJ40"/>
      <x:c t="inlineStr" r="AK40"/>
      <x:c t="inlineStr" r="AL40"/>
      <x:c t="inlineStr" r="AM40"/>
      <x:c t="inlineStr" r="AN40"/>
      <x:c t="n" r="AO40">
        <x:v>16</x:v>
      </x:c>
      <x:c t="inlineStr" r="AP40"/>
      <x:c t="inlineStr" r="AQ40"/>
      <x:c t="inlineStr" r="AR40"/>
      <x:c t="inlineStr" r="AS40"/>
      <x:c t="inlineStr" r="AT40"/>
      <x:c t="n" r="AU40">
        <x:v>1020905</x:v>
      </x:c>
      <x:c t="inlineStr" r="AV40"/>
      <x:c t="inlineStr" r="AW40">
        <x:is>
          <x:t/>
        </x:is>
      </x:c>
      <x:c t="inlineStr" r="AX40">
        <x:is>
          <x:t>facial hair,skin,moustache,clothing,lighting,black hair,shirt</x:t>
        </x:is>
      </x:c>
      <x:c t="inlineStr" r="AY40">
        <x:is>
          <x:t/>
        </x:is>
      </x:c>
      <x:c t="inlineStr" r="AZ40">
        <x:is>
          <x:t>man</x:t>
        </x:is>
      </x:c>
      <x:c t="inlineStr" r="BA40">
        <x:is>
          <x:t/>
        </x:is>
      </x:c>
      <x:c t="inlineStr" r="BB40">
        <x:is>
          <x:t>PHOTO</x:t>
        </x:is>
      </x:c>
      <x:c t="inlineStr" r="BC40">
        <x:is>
          <x:t>portrait</x:t>
        </x:is>
      </x:c>
      <x:c t="inlineStr" r="BD40">
        <x:is>
          <x:t>https://scontent.cdninstagram.com/v/t51.82787-15/791144222_18626035942050618_2031764406695617533_n.jpg?stp=dst-jpg_e35_p1080x1080_sh2.08_tt6&amp;_nc_cat=106&amp;ig_cache_key=Mzk3NTk0MTk2NDYyMDU5MjQ4MjE4NjI2MDM1OTM5MDUwNjE4.3-ccb7-5&amp;ccb=7-5&amp;_nc_sid=58cdad&amp;efg=eyJ2ZW5jb2RlX3RhZyI6IkNMSVBTLnhwaWRzLjEzMjAuc2RyLnZpZGVvX2RlZmF1bHRfY292ZXJfZnJhbWUuQzMifQ%3D%3D&amp;_nc_ohc=OpmFkNfqvM4Q7kNvwFox3cQ&amp;_nc_oc=AdqZUBl2XBb8h5HVMgkK1OgDDSMKH6FpKCBANHW6CnQGzy4HvK3j4b7BgPdbvuYzmvk&amp;_nc_zt=23&amp;_nc_ht=scontent.cdninstagram.com&amp;_nc_gid=uy6axGFqxCeHRftDjoeD-Q&amp;_nc_ss=70689&amp;oh=00_AQJdRBOVfY_FCqHUSDVfAID5tE4v164Jdfi8pjwYzl1fJQ&amp;oe=6A9B9596</x:t>
        </x:is>
      </x:c>
      <x:c t="inlineStr" r="BE40">
        <x:is>
          <x:t/>
        </x:is>
      </x:c>
      <x:c t="inlineStr" r="BF40">
        <x:is>
          <x:t>Não</x:t>
        </x:is>
      </x:c>
      <x:c t="inlineStr" r="BG40"/>
      <x:c t="inlineStr" r="BH40">
        <x:is>
          <x:t>Acontecimento</x:t>
        </x:is>
      </x:c>
      <x:c t="inlineStr" r="BI40">
        <x:is>
          <x:t>Artigo</x:t>
        </x:is>
      </x:c>
      <x:c t="inlineStr" r="BJ40"/>
      <x:c t="inlineStr" r="BK40">
        <x:is>
          <x:t>Ipiranga,Rock In Rio</x:t>
        </x:is>
      </x:c>
      <x:c t="inlineStr" r="BL40"/>
      <x:c t="inlineStr" r="BM40"/>
      <x:c t="inlineStr" r="BN40"/>
      <x:c t="inlineStr" r="BO40"/>
      <x:c t="inlineStr" r="BP40"/>
      <x:c t="inlineStr" r="BQ40"/>
      <x:c t="inlineStr" r="BR40"/>
      <x:c t="inlineStr" r="BS40"/>
      <x:c t="inlineStr" r="BT40"/>
      <x:c t="inlineStr" r="BU40"/>
      <x:c t="inlineStr" r="BV40"/>
      <x:c t="inlineStr" r="BW40"/>
      <x:c t="inlineStr" r="BX40"/>
      <x:c t="inlineStr" r="BY40"/>
      <x:c t="inlineStr" r="BZ40">
        <x:is>
          <x:t>Ipiranga</x:t>
        </x:is>
      </x:c>
      <x:c t="inlineStr" r="CA40"/>
      <x:c t="inlineStr" r="CB40"/>
      <x:c t="inlineStr" r="CC40"/>
      <x:c t="inlineStr" r="CD40"/>
      <x:c t="inlineStr" r="CE40">
        <x:is>
          <x:t>Rock In Rio</x:t>
        </x:is>
      </x:c>
      <x:c t="inlineStr" r="CF40"/>
    </x:row>
    <x:row r="41">
      <x:c t="n" r="A41">
        <x:v>2493097632</x:v>
      </x:c>
      <x:c t="inlineStr" r="B41">
        <x:is>
          <x:t>31.08.2026</x:t>
        </x:is>
      </x:c>
      <x:c t="inlineStr" r="C41">
        <x:is>
          <x:t>11:42</x:t>
        </x:is>
      </x:c>
      <x:c t="inlineStr" r="D41">
        <x:is>
          <x:t>31.08.2026 11:44</x:t>
        </x:is>
      </x:c>
      <x:c t="inlineStr" r="E41">
        <x:is>
          <x:t/>
        </x:is>
      </x:c>
      <x:c t="str" r="F41">
        <x:v>Vai abastecer o carro? Clientes da Ipiranga que gastarem R$ 200 podem ganhar ingresso para o Rock in Rio   .
Vai abastecer o carro? Clientes da Ipiranga que gastarem R$ 200 podem ganhar ingresso para o Rock in Rio
A Ipiranga vai dar um ingresso para o Rock in Rio 2026 aos primeiros 300 clientes que abastecerem R$ 200 ou mais com Ipimax, a linha de combustíveis aditivados da rede. A ação acontece nesta terça-feira (dia 1º), das 9h às 12h, no posto Ipiranga localizado na Avenida das Américas, 10.495, na Barra da Tijuca, Zona Sudoeste do Rio.
Segundo a Ipiranga, uma das patrocinadoras oficiais do festival — que acontece nos dias 4, 5, 6, 7, 11, 12 e 13 de setembro —, essa é apenas uma das surpresas que a marca preparou para esta semana.
Também nesta terça-feira, a marca fará um concurso em seu perfil no Instagram, que dará como prêmio um par de ingressos.
Para participar, é preciso seguir o perfil da empresa e comentar na publicação do concurso com uma frase criativa que contenha as palavras “Ipiranga” e “Parada Completa”. Os 100 comentários mais divertidos, publicados até as 17h de quarta-feira (dia 2), ganharão um par de ingressos de gramado para o Rock in Rio Brasil 2026.
Além disso, durante os dias do festival, clientes do programa de fidelidade da marca poderão resgatar o transfer oficial da Ipiranga para chegar ao evento.
http://dlvr.it/TVFrPs</x:v>
      </x:c>
      <x:c t="inlineStr" r="G41">
        <x:is>
          <x:t/>
        </x:is>
      </x:c>
      <x:c t="inlineStr" r="H41"/>
      <x:c t="inlineStr" r="I41">
        <x:is>
          <x:t>Postar</x:t>
        </x:is>
      </x:c>
      <x:c t="inlineStr" r="J41">
        <x:is>
          <x:t>Texto,Link</x:t>
        </x:is>
      </x:c>
      <x:c t="inlineStr" r="K41"/>
      <x:c r="L41">
        <x:f>HYPERLINK("https://bsky.app/profile/jornal-extra.bsky.social/post/3muf5bkdcxm2g")</x:f>
      </x:c>
      <x:c t="inlineStr" r="M41">
        <x:is>
          <x:t>Negativo</x:t>
        </x:is>
      </x:c>
      <x:c t="inlineStr" r="N41">
        <x:is>
          <x:t>Jornal Extra</x:t>
        </x:is>
      </x:c>
      <x:c t="inlineStr" r="O41">
        <x:is>
          <x:t>jornal-extra.bsky.social</x:t>
        </x:is>
      </x:c>
      <x:c r="P41">
        <x:f>HYPERLINK("https://bsky.app/profile/jornal-extra.bsky.social")</x:f>
      </x:c>
      <x:c t="n" r="Q41">
        <x:v>7832</x:v>
      </x:c>
      <x:c t="inlineStr" r="R41"/>
      <x:c t="inlineStr" r="S41"/>
      <x:c t="inlineStr" r="T41">
        <x:is>
          <x:t>bsky.app</x:t>
        </x:is>
      </x:c>
      <x:c t="inlineStr" r="U41"/>
      <x:c t="inlineStr" r="V41"/>
      <x:c t="inlineStr" r="W41"/>
      <x:c t="inlineStr" r="X41"/>
      <x:c t="inlineStr" r="Y41">
        <x:is>
          <x:t>Rede social</x:t>
        </x:is>
      </x:c>
      <x:c t="inlineStr" r="Z41">
        <x:is>
          <x:t>Português</x:t>
        </x:is>
      </x:c>
      <x:c t="inlineStr" r="AA41"/>
      <x:c t="inlineStr" r="AB41"/>
      <x:c t="inlineStr" r="AC41"/>
      <x:c t="inlineStr" r="AD41"/>
      <x:c t="n" r="AE41">
        <x:v>0</x:v>
      </x:c>
      <x:c t="n" r="AF41">
        <x:v>0</x:v>
      </x:c>
      <x:c t="n" r="AG41">
        <x:v>0</x:v>
      </x:c>
      <x:c t="inlineStr" r="AH41"/>
      <x:c t="inlineStr" r="AI41"/>
      <x:c t="inlineStr" r="AJ41"/>
      <x:c t="inlineStr" r="AK41"/>
      <x:c t="inlineStr" r="AL41"/>
      <x:c t="inlineStr" r="AM41"/>
      <x:c t="inlineStr" r="AN41"/>
      <x:c t="n" r="AO41">
        <x:v>0</x:v>
      </x:c>
      <x:c t="n" r="AP41">
        <x:v>0</x:v>
      </x:c>
      <x:c t="inlineStr" r="AQ41"/>
      <x:c t="inlineStr" r="AR41"/>
      <x:c t="inlineStr" r="AS41"/>
      <x:c t="n" r="AT41">
        <x:v>0</x:v>
      </x:c>
      <x:c t="n" r="AU41">
        <x:v>7832</x:v>
      </x:c>
      <x:c t="inlineStr" r="AV41"/>
      <x:c t="inlineStr" r="AW41">
        <x:is>
          <x:t>Ipiranga</x:t>
        </x:is>
      </x:c>
      <x:c t="inlineStr" r="AX41">
        <x:is>
          <x:t>sky,text,signage</x:t>
        </x:is>
      </x:c>
      <x:c t="inlineStr" r="AY41">
        <x:is>
          <x:t>outdoor</x:t>
        </x:is>
      </x:c>
      <x:c t="inlineStr" r="AZ41">
        <x:is>
          <x:t/>
        </x:is>
      </x:c>
      <x:c t="inlineStr" r="BA41">
        <x:is>
          <x:t/>
        </x:is>
      </x:c>
      <x:c t="inlineStr" r="BB41">
        <x:is>
          <x:t>PHOTO</x:t>
        </x:is>
      </x:c>
      <x:c t="inlineStr" r="BC41"/>
      <x:c r="BD41">
        <x:f>HYPERLINK("https://cdn.bsky.app/img/feed_thumbnail/plain/did:plc:ppgqbc24yvwdifkpo6kvvrlu/bafkreid77sixcng7mdsfzjfud6s3h5g6s54umovsue5xrjjfcx2aenxgd4")</x:f>
      </x:c>
      <x:c t="inlineStr" r="BE41">
        <x:is>
          <x:t/>
        </x:is>
      </x:c>
      <x:c t="inlineStr" r="BF41">
        <x:is>
          <x:t>Não</x:t>
        </x:is>
      </x:c>
      <x:c t="inlineStr" r="BG41"/>
      <x:c t="inlineStr" r="BH41">
        <x:is>
          <x:t/>
        </x:is>
      </x:c>
      <x:c t="inlineStr" r="BI41">
        <x:is>
          <x:t>Promoção</x:t>
        </x:is>
      </x:c>
      <x:c t="inlineStr" r="BJ41">
        <x:is>
          <x:t>O Rock in Rio começa semana que vem e por aqui a ansiedade já está ON!</x:t>
        </x:is>
      </x:c>
      <x:c t="inlineStr" r="BK41">
        <x:is>
          <x:t>Ipimax,Campanha: Parada Completa,Ipiranga,Rock In Rio</x:t>
        </x:is>
      </x:c>
      <x:c t="inlineStr" r="BL41"/>
      <x:c t="inlineStr" r="BM41"/>
      <x:c t="inlineStr" r="BN41"/>
      <x:c t="inlineStr" r="BO41"/>
      <x:c t="inlineStr" r="BP41"/>
      <x:c t="inlineStr" r="BQ41"/>
      <x:c t="inlineStr" r="BR41"/>
      <x:c t="inlineStr" r="BS41"/>
      <x:c t="inlineStr" r="BT41"/>
      <x:c t="inlineStr" r="BU41"/>
      <x:c t="inlineStr" r="BV41"/>
      <x:c t="inlineStr" r="BW41">
        <x:is>
          <x:t>Ipimax</x:t>
        </x:is>
      </x:c>
      <x:c t="inlineStr" r="BX41"/>
      <x:c t="inlineStr" r="BY41">
        <x:is>
          <x:t>Campanha: Parada Completa</x:t>
        </x:is>
      </x:c>
      <x:c t="inlineStr" r="BZ41">
        <x:is>
          <x:t>Ipiranga</x:t>
        </x:is>
      </x:c>
      <x:c t="inlineStr" r="CA41"/>
      <x:c t="inlineStr" r="CB41"/>
      <x:c t="inlineStr" r="CC41"/>
      <x:c t="inlineStr" r="CD41"/>
      <x:c t="inlineStr" r="CE41">
        <x:is>
          <x:t>Rock In Rio</x:t>
        </x:is>
      </x:c>
      <x:c t="inlineStr" r="CF41"/>
    </x:row>
    <x:row r="42">
      <x:c t="n" r="A42">
        <x:v>631618115</x:v>
      </x:c>
      <x:c t="inlineStr" r="B42">
        <x:is>
          <x:t>31.08.2026</x:t>
        </x:is>
      </x:c>
      <x:c t="inlineStr" r="C42">
        <x:is>
          <x:t>07:35</x:t>
        </x:is>
      </x:c>
      <x:c t="inlineStr" r="D42">
        <x:is>
          <x:t>31.08.2026 08:33</x:t>
        </x:is>
      </x:c>
      <x:c t="inlineStr" r="E42">
        <x:is>
          <x:t/>
        </x:is>
      </x:c>
      <x:c t="str" r="F42">
        <x:v>Dicas pra quem vai pro Rock in Rio! Salva pra não esquecer e manda pra quem vai com você!
- Hidratação: você pode levar uma garrafa plástica transparente de até 500 ml com tampa e encher gratuitamente nos pontos de hidratação e bebedouros espalhados pela Cidade do Rock.
- Alimentação: pode levar até 5 itens por pessoa. Dê preferência a alimentos industrializados lacrados, como biscoitos e barras de cereal. Frutas cortadas e sanduíches devem estar em embalagens transparentes e não rígidas, como Zip Lock.
- Bateria: leve seu carregador portátil (power bank), respeitando o tamanho máximo equivalente a um aparelho celular.
- Conforto e proteção: capa de chuva, canga para sentar no gramado, casaco para quando esfriar à noite, óculos de sol, boné/chapéu e protetor solar de até 100 ml.
- Look: icônico, porque em festival tem que arrasar! 
- E não esqueça: documento de identidade original e ingresso!
Agora me conta: qual dia você vai pra Cidade do Rock? 👀
#rockinrio #rockinrio2026 #festival #cidadedorock #lookrockinrio</x:v>
      </x:c>
      <x:c t="inlineStr" r="G42">
        <x:is>
          <x:t/>
        </x:is>
      </x:c>
      <x:c t="inlineStr" r="H42"/>
      <x:c t="inlineStr" r="I42">
        <x:is>
          <x:t>Postar</x:t>
        </x:is>
      </x:c>
      <x:c t="inlineStr" r="J42">
        <x:is>
          <x:t>Texto,Vídeo</x:t>
        </x:is>
      </x:c>
      <x:c t="inlineStr" r="K42">
        <x:is>
          <x:t>InstagramReels</x:t>
        </x:is>
      </x:c>
      <x:c r="L42">
        <x:f>HYPERLINK("https://www.instagram.com/reel/Dcs32wIsq0W/")</x:f>
      </x:c>
      <x:c t="inlineStr" r="M42">
        <x:is>
          <x:t>Negativo</x:t>
        </x:is>
      </x:c>
      <x:c t="inlineStr" r="N42">
        <x:is>
          <x:t>Dayane Rocha</x:t>
        </x:is>
      </x:c>
      <x:c t="inlineStr" r="O42">
        <x:is>
          <x:t>dayaneblogueira</x:t>
        </x:is>
      </x:c>
      <x:c r="P42">
        <x:f>HYPERLINK("https://www.instagram.com/dayaneblogueira/")</x:f>
      </x:c>
      <x:c t="n" r="Q42">
        <x:v>5557</x:v>
      </x:c>
      <x:c t="inlineStr" r="R42">
        <x:is>
          <x:t>Mulher</x:t>
        </x:is>
      </x:c>
      <x:c t="inlineStr" r="S42"/>
      <x:c t="inlineStr" r="T42">
        <x:is>
          <x:t>instagram.com</x:t>
        </x:is>
      </x:c>
      <x:c t="inlineStr" r="U42">
        <x:is>
          <x:t>Dayane Rocha</x:t>
        </x:is>
      </x:c>
      <x:c r="V42">
        <x:f>HYPERLINK("https://www.instagram.com/dayaneblogueira/")</x:f>
      </x:c>
      <x:c t="n" r="W42">
        <x:v>5557</x:v>
      </x:c>
      <x:c t="inlineStr" r="X42"/>
      <x:c t="inlineStr" r="Y42">
        <x:is>
          <x:t>Rede social</x:t>
        </x:is>
      </x:c>
      <x:c t="inlineStr" r="Z42">
        <x:is>
          <x:t>Português</x:t>
        </x:is>
      </x:c>
      <x:c t="inlineStr" r="AA42"/>
      <x:c t="inlineStr" r="AB42"/>
      <x:c t="inlineStr" r="AC42"/>
      <x:c t="inlineStr" r="AD42"/>
      <x:c t="n" r="AE42">
        <x:v>2</x:v>
      </x:c>
      <x:c t="n" r="AF42">
        <x:v>2</x:v>
      </x:c>
      <x:c t="n" r="AG42">
        <x:v>2</x:v>
      </x:c>
      <x:c t="inlineStr" r="AH42"/>
      <x:c t="inlineStr" r="AI42"/>
      <x:c t="inlineStr" r="AJ42"/>
      <x:c t="inlineStr" r="AK42"/>
      <x:c t="inlineStr" r="AL42"/>
      <x:c t="inlineStr" r="AM42"/>
      <x:c t="inlineStr" r="AN42"/>
      <x:c t="n" r="AO42">
        <x:v>0</x:v>
      </x:c>
      <x:c t="inlineStr" r="AP42"/>
      <x:c t="inlineStr" r="AQ42"/>
      <x:c t="inlineStr" r="AR42"/>
      <x:c t="inlineStr" r="AS42"/>
      <x:c t="inlineStr" r="AT42"/>
      <x:c t="n" r="AU42">
        <x:v>5557</x:v>
      </x:c>
      <x:c t="inlineStr" r="AV42"/>
      <x:c t="inlineStr" r="AW42">
        <x:is>
          <x:t/>
        </x:is>
      </x:c>
      <x:c t="inlineStr" r="AX42">
        <x:is>
          <x:t>jewellery,text,finger,skin,sunglasses,long hair,laptop,wrist,nail,watch,blond,bracelet,screen</x:t>
        </x:is>
      </x:c>
      <x:c t="inlineStr" r="AY42">
        <x:is>
          <x:t/>
        </x:is>
      </x:c>
      <x:c t="inlineStr" r="AZ42">
        <x:is>
          <x:t>woman</x:t>
        </x:is>
      </x:c>
      <x:c t="inlineStr" r="BA42">
        <x:is>
          <x:t/>
        </x:is>
      </x:c>
      <x:c t="inlineStr" r="BB42">
        <x:is>
          <x:t>ILLUSTRATION</x:t>
        </x:is>
      </x:c>
      <x:c t="inlineStr" r="BC42">
        <x:is>
          <x:t>photo caption</x:t>
        </x:is>
      </x:c>
      <x:c t="inlineStr" r="BD42">
        <x:is>
          <x:t>https://scontent-fra3-1.cdninstagram.com/v/t51.82787-15/791354778_18620510851009895_7093003563880750736_n.jpg?stp=dst-jpg_e35_tt6&amp;_nc_cat=108&amp;ccb=7-5&amp;_nc_sid=18de74&amp;efg=eyJlZmdfdGFnIjoiQ0xJUFMuYmVzdF9pbWFnZV91cmxnZW4uQzMifQ%3D%3D&amp;_nc_ohc=pLQbZGrb-4wQ7kNvwFWTy7U&amp;_nc_oc=AdpStJKDS_3qGYwHc86MNK6AcuNQEcnsKtcDIBFV8G_BFVzf-xUSDEPwxTlsgOlW04Y&amp;_nc_zt=23&amp;_nc_ht=scontent-fra3-1.cdninstagram.com&amp;edm=AJ7ooaQEAAAA&amp;_nc_gid=RMAtgYV5OKSvBbcheBE68A&amp;_nc_tpa=Q5bMBQJ6RQPScl7IjJyYWAIrs6bfW_1Z4b-C9gtzua5R6nxxK6cAQvx91EVH-bw0q86xxqYiECMzfDGAUQ&amp;oh=00_AQL3qSC8bjEfFcRY-oJ-GSe8pkLBnlskS_CryGj2Q-ldwg&amp;oe=6A9B519B</x:t>
        </x:is>
      </x:c>
      <x:c t="inlineStr" r="BE42">
        <x:is>
          <x:t/>
        </x:is>
      </x:c>
      <x:c t="inlineStr" r="BF42">
        <x:is>
          <x:t>Não</x:t>
        </x:is>
      </x:c>
      <x:c t="inlineStr" r="BG42"/>
      <x:c t="inlineStr" r="BH42">
        <x:is>
          <x:t/>
        </x:is>
      </x:c>
      <x:c t="inlineStr" r="BI42">
        <x:is>
          <x:t>Orientação</x:t>
        </x:is>
      </x:c>
      <x:c t="inlineStr" r="BJ42">
        <x:is>
          <x:t>Salva pra não esquecer e manda pra quem vai com você!</x:t>
        </x:is>
      </x:c>
      <x:c t="inlineStr" r="BK42">
        <x:is>
          <x:t>Rock In Rio</x:t>
        </x:is>
      </x:c>
      <x:c t="inlineStr" r="BL42"/>
      <x:c t="inlineStr" r="BM42"/>
      <x:c t="inlineStr" r="BN42"/>
      <x:c t="inlineStr" r="BO42"/>
      <x:c t="inlineStr" r="BP42"/>
      <x:c t="inlineStr" r="BQ42"/>
      <x:c t="inlineStr" r="BR42"/>
      <x:c t="inlineStr" r="BS42"/>
      <x:c t="inlineStr" r="BT42"/>
      <x:c t="inlineStr" r="BU42"/>
      <x:c t="inlineStr" r="BV42"/>
      <x:c t="inlineStr" r="BW42"/>
      <x:c t="inlineStr" r="BX42"/>
      <x:c t="inlineStr" r="BY42"/>
      <x:c t="inlineStr" r="BZ42"/>
      <x:c t="inlineStr" r="CA42"/>
      <x:c t="inlineStr" r="CB42"/>
      <x:c t="inlineStr" r="CC42"/>
      <x:c t="inlineStr" r="CD42"/>
      <x:c t="inlineStr" r="CE42">
        <x:is>
          <x:t>Rock In Rio</x:t>
        </x:is>
      </x:c>
      <x:c t="inlineStr" r="CF42"/>
    </x:row>
    <x:row r="43">
      <x:c t="n" r="A43">
        <x:v>935901688</x:v>
      </x:c>
      <x:c t="inlineStr" r="B43">
        <x:is>
          <x:t>30.08.2026</x:t>
        </x:is>
      </x:c>
      <x:c t="inlineStr" r="C43">
        <x:is>
          <x:t>21:46</x:t>
        </x:is>
      </x:c>
      <x:c t="inlineStr" r="D43">
        <x:is>
          <x:t>30.08.2026 22:45</x:t>
        </x:is>
      </x:c>
      <x:c t="inlineStr" r="E43">
        <x:is>
          <x:t/>
        </x:is>
      </x:c>
      <x:c t="str" r="F43">
        <x:v>Amaciando a bota pro Rock in Rio porque ninguém merece descobrir no primeiro dia que escolheu o sapato errado 😂🥾🎸
Quem também já tá se preparando pro festival? 👀
Me conta: qual dia você vai? 
#RockInRio #RockInRio2026 #RockInRioRJ #CidadeDoRock #lookrockinrio</x:v>
      </x:c>
      <x:c t="inlineStr" r="G43">
        <x:is>
          <x:t/>
        </x:is>
      </x:c>
      <x:c t="inlineStr" r="H43"/>
      <x:c t="inlineStr" r="I43">
        <x:is>
          <x:t>Postar</x:t>
        </x:is>
      </x:c>
      <x:c t="inlineStr" r="J43">
        <x:is>
          <x:t>Texto,Vídeo</x:t>
        </x:is>
      </x:c>
      <x:c t="inlineStr" r="K43">
        <x:is>
          <x:t>InstagramReels</x:t>
        </x:is>
      </x:c>
      <x:c r="L43">
        <x:f>HYPERLINK("https://www.instagram.com/reel/Dcr0xQDMjBg/")</x:f>
      </x:c>
      <x:c t="inlineStr" r="M43">
        <x:is>
          <x:t>Negativo</x:t>
        </x:is>
      </x:c>
      <x:c t="inlineStr" r="N43">
        <x:is>
          <x:t>Dayane Rocha</x:t>
        </x:is>
      </x:c>
      <x:c t="inlineStr" r="O43">
        <x:is>
          <x:t>dayaneblogueira</x:t>
        </x:is>
      </x:c>
      <x:c r="P43">
        <x:f>HYPERLINK("https://www.instagram.com/dayaneblogueira/")</x:f>
      </x:c>
      <x:c t="n" r="Q43">
        <x:v>5557</x:v>
      </x:c>
      <x:c t="inlineStr" r="R43">
        <x:is>
          <x:t>Mulher</x:t>
        </x:is>
      </x:c>
      <x:c t="inlineStr" r="S43"/>
      <x:c t="inlineStr" r="T43">
        <x:is>
          <x:t>instagram.com</x:t>
        </x:is>
      </x:c>
      <x:c t="inlineStr" r="U43">
        <x:is>
          <x:t>Dayane Rocha</x:t>
        </x:is>
      </x:c>
      <x:c r="V43">
        <x:f>HYPERLINK("https://www.instagram.com/dayaneblogueira/")</x:f>
      </x:c>
      <x:c t="n" r="W43">
        <x:v>5557</x:v>
      </x:c>
      <x:c t="inlineStr" r="X43"/>
      <x:c t="inlineStr" r="Y43">
        <x:is>
          <x:t>Rede social</x:t>
        </x:is>
      </x:c>
      <x:c t="inlineStr" r="Z43">
        <x:is>
          <x:t>Português</x:t>
        </x:is>
      </x:c>
      <x:c t="inlineStr" r="AA43"/>
      <x:c t="inlineStr" r="AB43"/>
      <x:c t="inlineStr" r="AC43"/>
      <x:c t="inlineStr" r="AD43"/>
      <x:c t="n" r="AE43">
        <x:v>10</x:v>
      </x:c>
      <x:c t="n" r="AF43">
        <x:v>14</x:v>
      </x:c>
      <x:c t="n" r="AG43">
        <x:v>10</x:v>
      </x:c>
      <x:c t="inlineStr" r="AH43"/>
      <x:c t="inlineStr" r="AI43"/>
      <x:c t="inlineStr" r="AJ43"/>
      <x:c t="inlineStr" r="AK43"/>
      <x:c t="inlineStr" r="AL43"/>
      <x:c t="inlineStr" r="AM43"/>
      <x:c t="inlineStr" r="AN43"/>
      <x:c t="n" r="AO43">
        <x:v>4</x:v>
      </x:c>
      <x:c t="inlineStr" r="AP43"/>
      <x:c t="inlineStr" r="AQ43"/>
      <x:c t="inlineStr" r="AR43"/>
      <x:c t="inlineStr" r="AS43"/>
      <x:c t="inlineStr" r="AT43"/>
      <x:c t="n" r="AU43">
        <x:v>5557</x:v>
      </x:c>
      <x:c t="inlineStr" r="AV43"/>
      <x:c t="inlineStr" r="AW43">
        <x:is>
          <x:t/>
        </x:is>
      </x:c>
      <x:c t="inlineStr" r="AX43">
        <x:is>
          <x:t>plant,houseplant,text,clothing,long hair,flowerpot,skin,furniture,thigh,blond,footwear,television</x:t>
        </x:is>
      </x:c>
      <x:c t="inlineStr" r="AY43">
        <x:is>
          <x:t>indoor</x:t>
        </x:is>
      </x:c>
      <x:c t="inlineStr" r="AZ43">
        <x:is>
          <x:t>woman</x:t>
        </x:is>
      </x:c>
      <x:c t="inlineStr" r="BA43">
        <x:is>
          <x:t>standing</x:t>
        </x:is>
      </x:c>
      <x:c t="inlineStr" r="BB43">
        <x:is>
          <x:t>ILLUSTRATION</x:t>
        </x:is>
      </x:c>
      <x:c t="inlineStr" r="BC43">
        <x:is>
          <x:t>photo caption</x:t>
        </x:is>
      </x:c>
      <x:c t="inlineStr" r="BD43">
        <x:is>
          <x:t>https://scontent-ams2-1.cdninstagram.com/v/t51.82787-15/790505384_18620403577009895_8801308925863558297_n.jpg?stp=dst-jpg_e35_tt6&amp;_nc_cat=105&amp;ccb=7-5&amp;_nc_sid=18de74&amp;efg=eyJlZmdfdGFnIjoiQ0xJUFMuYmVzdF9pbWFnZV91cmxnZW4uQzMifQ%3D%3D&amp;_nc_ohc=I-naEGbQgZoQ7kNvwGlbDJ_&amp;_nc_oc=AdrgnT2Nzo9dC2g8rgOdPCBm1oTQ4416Z9bJd-DFzE0xeLQMtzjJF12OGjrrW6GTOBM&amp;_nc_zt=23&amp;_nc_ht=scontent-ams2-1.cdninstagram.com&amp;edm=AJ7ooaQEAAAA&amp;_nc_gid=kCJscC4govoay5B6K3zrOA&amp;_nc_tpa=Q5bMBQLBw2srH1ADB_667TvI8pugLwGNNyVHmAde0X7Vs43OQvbTtKOkvmvDVlJ98vVAvjux3PIzPNhXyw&amp;oh=00_AQLDAmmBQ9bJPxG5h0vuhYBnS-DrN46SWaoLHoql_1We8Q&amp;oe=6A9AA3D0</x:t>
        </x:is>
      </x:c>
      <x:c t="inlineStr" r="BE43">
        <x:is>
          <x:t/>
        </x:is>
      </x:c>
      <x:c t="inlineStr" r="BF43">
        <x:is>
          <x:t>Não</x:t>
        </x:is>
      </x:c>
      <x:c t="inlineStr" r="BG43"/>
      <x:c t="inlineStr" r="BH43">
        <x:is>
          <x:t>Moda</x:t>
        </x:is>
      </x:c>
      <x:c t="inlineStr" r="BI43">
        <x:is>
          <x:t>WOM</x:t>
        </x:is>
      </x:c>
      <x:c t="inlineStr" r="BJ43">
        <x:is>
          <x:t>Amaciando a bota pro Rock in Rio porque ninguém merece descobrir no primeiro dia que escolheu o sapato errado 😂🥾🎸</x:t>
        </x:is>
      </x:c>
      <x:c t="inlineStr" r="BK43">
        <x:is>
          <x:t>Rock In Rio</x:t>
        </x:is>
      </x:c>
      <x:c t="inlineStr" r="BL43"/>
      <x:c t="inlineStr" r="BM43"/>
      <x:c t="inlineStr" r="BN43"/>
      <x:c t="inlineStr" r="BO43"/>
      <x:c t="inlineStr" r="BP43"/>
      <x:c t="inlineStr" r="BQ43"/>
      <x:c t="inlineStr" r="BR43"/>
      <x:c t="inlineStr" r="BS43"/>
      <x:c t="inlineStr" r="BT43"/>
      <x:c t="inlineStr" r="BU43"/>
      <x:c t="inlineStr" r="BV43"/>
      <x:c t="inlineStr" r="BW43"/>
      <x:c t="inlineStr" r="BX43"/>
      <x:c t="inlineStr" r="BY43"/>
      <x:c t="inlineStr" r="BZ43"/>
      <x:c t="inlineStr" r="CA43"/>
      <x:c t="inlineStr" r="CB43"/>
      <x:c t="inlineStr" r="CC43"/>
      <x:c t="inlineStr" r="CD43"/>
      <x:c t="inlineStr" r="CE43">
        <x:is>
          <x:t>Rock In Rio</x:t>
        </x:is>
      </x:c>
      <x:c t="inlineStr" r="CF43"/>
    </x:row>
    <x:row r="44">
      <x:c t="n" r="A44">
        <x:v>2179666353</x:v>
      </x:c>
      <x:c t="inlineStr" r="B44">
        <x:is>
          <x:t>30.08.2026</x:t>
        </x:is>
      </x:c>
      <x:c t="inlineStr" r="C44">
        <x:is>
          <x:t>17:11</x:t>
        </x:is>
      </x:c>
      <x:c t="inlineStr" r="D44">
        <x:is>
          <x:t>30.08.2026 18:16</x:t>
        </x:is>
      </x:c>
      <x:c t="inlineStr" r="E44">
        <x:is>
          <x:t/>
        </x:is>
      </x:c>
      <x:c t="str" r="F44">
        <x:v>Rock in Rio depois dos 50 não é ter menos disposição. É conhecer o próprio corpo e escolher conforto sem abrir mão da diversão. Para mulheres 40+ e 50+, maturidade também é saber qual sapato usar, o que levar e como guardar energia para cantar até o último show. Quem disse que envelhecer é sair da festa? 🎸
#rockinrio2026 #Mulheres40Mais #Mulheres50Mais #rockinrio</x:v>
      </x:c>
      <x:c t="inlineStr" r="G44">
        <x:is>
          <x:t/>
        </x:is>
      </x:c>
      <x:c t="inlineStr" r="H44"/>
      <x:c t="inlineStr" r="I44">
        <x:is>
          <x:t>Postar</x:t>
        </x:is>
      </x:c>
      <x:c t="inlineStr" r="J44">
        <x:is>
          <x:t>Texto,Vídeo</x:t>
        </x:is>
      </x:c>
      <x:c t="inlineStr" r="K44">
        <x:is>
          <x:t>InstagramReels</x:t>
        </x:is>
      </x:c>
      <x:c r="L44">
        <x:f>HYPERLINK("https://www.instagram.com/reel/DcrTusbh3Wp/")</x:f>
      </x:c>
      <x:c t="inlineStr" r="M44">
        <x:is>
          <x:t>Negativo</x:t>
        </x:is>
      </x:c>
      <x:c t="inlineStr" r="N44">
        <x:is>
          <x:t>Lara Guaranys | 45+ Vida &amp; Reinvenções</x:t>
        </x:is>
      </x:c>
      <x:c t="inlineStr" r="O44">
        <x:is>
          <x:t>laraguaranys</x:t>
        </x:is>
      </x:c>
      <x:c r="P44">
        <x:f>HYPERLINK("https://www.instagram.com/laraguaranys/")</x:f>
      </x:c>
      <x:c t="n" r="Q44">
        <x:v>111684</x:v>
      </x:c>
      <x:c t="inlineStr" r="R44">
        <x:is>
          <x:t>Mulher</x:t>
        </x:is>
      </x:c>
      <x:c t="inlineStr" r="S44"/>
      <x:c t="inlineStr" r="T44">
        <x:is>
          <x:t>instagram.com</x:t>
        </x:is>
      </x:c>
      <x:c t="inlineStr" r="U44">
        <x:is>
          <x:t>Lara Guaranys | 45+ Vida &amp; Reinvenções</x:t>
        </x:is>
      </x:c>
      <x:c r="V44">
        <x:f>HYPERLINK("https://www.instagram.com/laraguaranys/")</x:f>
      </x:c>
      <x:c t="n" r="W44">
        <x:v>111684</x:v>
      </x:c>
      <x:c t="inlineStr" r="X44"/>
      <x:c t="inlineStr" r="Y44">
        <x:is>
          <x:t>Rede social</x:t>
        </x:is>
      </x:c>
      <x:c t="inlineStr" r="Z44">
        <x:is>
          <x:t>Português</x:t>
        </x:is>
      </x:c>
      <x:c t="inlineStr" r="AA44"/>
      <x:c t="inlineStr" r="AB44"/>
      <x:c t="inlineStr" r="AC44"/>
      <x:c t="inlineStr" r="AD44"/>
      <x:c t="n" r="AE44">
        <x:v>1</x:v>
      </x:c>
      <x:c t="n" r="AF44">
        <x:v>1</x:v>
      </x:c>
      <x:c t="n" r="AG44">
        <x:v>1</x:v>
      </x:c>
      <x:c t="inlineStr" r="AH44"/>
      <x:c t="inlineStr" r="AI44"/>
      <x:c t="inlineStr" r="AJ44"/>
      <x:c t="inlineStr" r="AK44"/>
      <x:c t="inlineStr" r="AL44"/>
      <x:c t="inlineStr" r="AM44"/>
      <x:c t="inlineStr" r="AN44"/>
      <x:c t="n" r="AO44">
        <x:v>0</x:v>
      </x:c>
      <x:c t="inlineStr" r="AP44"/>
      <x:c t="inlineStr" r="AQ44"/>
      <x:c t="inlineStr" r="AR44"/>
      <x:c t="inlineStr" r="AS44"/>
      <x:c t="inlineStr" r="AT44"/>
      <x:c t="n" r="AU44">
        <x:v>111684</x:v>
      </x:c>
      <x:c t="inlineStr" r="AV44"/>
      <x:c t="inlineStr" r="AW44">
        <x:is>
          <x:t/>
        </x:is>
      </x:c>
      <x:c t="inlineStr" r="AX44">
        <x:is>
          <x:t>sky,skin,glasses</x:t>
        </x:is>
      </x:c>
      <x:c t="inlineStr" r="AY44">
        <x:is>
          <x:t>outdoor</x:t>
        </x:is>
      </x:c>
      <x:c t="inlineStr" r="AZ44">
        <x:is>
          <x:t/>
        </x:is>
      </x:c>
      <x:c t="inlineStr" r="BA44">
        <x:is>
          <x:t/>
        </x:is>
      </x:c>
      <x:c t="inlineStr" r="BB44">
        <x:is>
          <x:t>ILLUSTRATION</x:t>
        </x:is>
      </x:c>
      <x:c t="inlineStr" r="BC44">
        <x:is>
          <x:t>photo caption</x:t>
        </x:is>
      </x:c>
      <x:c t="inlineStr" r="BD44">
        <x:is>
          <x:t>https://scontent-ams2-1.cdninstagram.com/v/t51.82787-15/789264225_18614750137019654_5297329051993332516_n.jpg?stp=dst-jpg_e35_tt6&amp;_nc_cat=106&amp;ccb=7-5&amp;_nc_sid=18de74&amp;efg=eyJlZmdfdGFnIjoiQ0xJUFMuYmVzdF9pbWFnZV91cmxnZW4uQzMifQ%3D%3D&amp;_nc_ohc=eU56-lJVD0YQ7kNvwFL1hcr&amp;_nc_oc=AdpmiDLvKH8vwsQpPdmO6TX1SU0WB2yayAyOSsB6bIFKOejPgU8QyBBKTveCCYNMSkY&amp;_nc_zt=23&amp;_nc_ht=scontent-ams2-1.cdninstagram.com&amp;edm=AJ7ooaQEAAAA&amp;_nc_gid=5me6PXiRE7QiXcHDiDbdiw&amp;_nc_tpa=Q5bMBQLx7TMWONh8oAhEA8IGW6nIfd9s7HBd5l6MSksN3_gtp8gF9Yj6IifKdyTUfyZczOHkxEi6FVxaUA&amp;oh=00_AQLZLnaPbBwShp3-1kIDtftIUELPwSMqa3ZPOOg9c3KSPQ&amp;oe=6A9A64EA</x:t>
        </x:is>
      </x:c>
      <x:c t="inlineStr" r="BE44">
        <x:is>
          <x:t/>
        </x:is>
      </x:c>
      <x:c t="inlineStr" r="BF44">
        <x:is>
          <x:t>Não</x:t>
        </x:is>
      </x:c>
      <x:c t="inlineStr" r="BG44"/>
      <x:c t="inlineStr" r="BH44">
        <x:is>
          <x:t/>
        </x:is>
      </x:c>
      <x:c t="inlineStr" r="BI44">
        <x:is>
          <x:t/>
        </x:is>
      </x:c>
      <x:c t="inlineStr" r="BJ44"/>
      <x:c t="inlineStr" r="BK44">
        <x:is>
          <x:t>Rock In Rio</x:t>
        </x:is>
      </x:c>
      <x:c t="inlineStr" r="BL44"/>
      <x:c t="inlineStr" r="BM44"/>
      <x:c t="inlineStr" r="BN44"/>
      <x:c t="inlineStr" r="BO44"/>
      <x:c t="inlineStr" r="BP44"/>
      <x:c t="inlineStr" r="BQ44"/>
      <x:c t="inlineStr" r="BR44"/>
      <x:c t="inlineStr" r="BS44"/>
      <x:c t="inlineStr" r="BT44"/>
      <x:c t="inlineStr" r="BU44"/>
      <x:c t="inlineStr" r="BV44"/>
      <x:c t="inlineStr" r="BW44"/>
      <x:c t="inlineStr" r="BX44"/>
      <x:c t="inlineStr" r="BY44"/>
      <x:c t="inlineStr" r="BZ44"/>
      <x:c t="inlineStr" r="CA44"/>
      <x:c t="inlineStr" r="CB44"/>
      <x:c t="inlineStr" r="CC44"/>
      <x:c t="inlineStr" r="CD44"/>
      <x:c t="inlineStr" r="CE44">
        <x:is>
          <x:t>Rock In Rio</x:t>
        </x:is>
      </x:c>
      <x:c t="inlineStr" r="CF44"/>
    </x:row>
    <x:row r="45">
      <x:c t="n" r="A45">
        <x:v>861277848</x:v>
      </x:c>
      <x:c t="inlineStr" r="B45">
        <x:is>
          <x:t>29.08.2026</x:t>
        </x:is>
      </x:c>
      <x:c t="inlineStr" r="C45">
        <x:is>
          <x:t>23:25</x:t>
        </x:is>
      </x:c>
      <x:c t="inlineStr" r="D45">
        <x:is>
          <x:t>29.08.2026 23:30</x:t>
        </x:is>
      </x:c>
      <x:c t="inlineStr" r="E45">
        <x:is>
          <x:t/>
        </x:is>
      </x:c>
      <x:c t="str" r="F45">
        <x:v>Lembrei do ano que fiz esse vídeo tentando um ingresso pro Rock in Rio. Não ganhei. Haha
Repostando pra ver se alguma marca me nota e me leva pro Evento teste esse ano. 
@itau @ipiranga @seara_brasil @naturabroficial
Esse clipe de Natalia Lovato #SóTemLá no @ipiranga 
#IpirangaNoRockinRio</x:v>
      </x:c>
      <x:c t="inlineStr" r="G45">
        <x:is>
          <x:t/>
        </x:is>
      </x:c>
      <x:c t="inlineStr" r="H45"/>
      <x:c t="inlineStr" r="I45">
        <x:is>
          <x:t>Repostagem estendida</x:t>
        </x:is>
      </x:c>
      <x:c t="inlineStr" r="J45">
        <x:is>
          <x:t>Vídeo,Texto</x:t>
        </x:is>
      </x:c>
      <x:c t="inlineStr" r="K45"/>
      <x:c r="L45">
        <x:f>HYPERLINK("https://x.com/NtalyRocha/status/2093887917475168581")</x:f>
      </x:c>
      <x:c t="inlineStr" r="M45">
        <x:is>
          <x:t>Negativo</x:t>
        </x:is>
      </x:c>
      <x:c t="inlineStr" r="N45">
        <x:is>
          <x:t>Natália Ferrer</x:t>
        </x:is>
      </x:c>
      <x:c t="inlineStr" r="O45">
        <x:is>
          <x:t>NtalyRocha</x:t>
        </x:is>
      </x:c>
      <x:c r="P45">
        <x:f>HYPERLINK("http://x.com/NtalyRocha")</x:f>
      </x:c>
      <x:c t="n" r="Q45">
        <x:v>9</x:v>
      </x:c>
      <x:c t="inlineStr" r="R45">
        <x:is>
          <x:t>Mulher</x:t>
        </x:is>
      </x:c>
      <x:c t="inlineStr" r="S45"/>
      <x:c t="inlineStr" r="T45">
        <x:is>
          <x:t>x.com</x:t>
        </x:is>
      </x:c>
      <x:c t="inlineStr" r="U45"/>
      <x:c t="inlineStr" r="V45"/>
      <x:c t="inlineStr" r="W45"/>
      <x:c t="inlineStr" r="X45"/>
      <x:c t="inlineStr" r="Y45">
        <x:is>
          <x:t>Rede social</x:t>
        </x:is>
      </x:c>
      <x:c t="inlineStr" r="Z45">
        <x:is>
          <x:t>Português</x:t>
        </x:is>
      </x:c>
      <x:c t="inlineStr" r="AA45">
        <x:is>
          <x:t>Brasil</x:t>
        </x:is>
      </x:c>
      <x:c t="inlineStr" r="AB45">
        <x:is>
          <x:t>Rio de Janeiro</x:t>
        </x:is>
      </x:c>
      <x:c t="inlineStr" r="AC45"/>
      <x:c t="inlineStr" r="AD45"/>
      <x:c t="n" r="AE45">
        <x:v>0</x:v>
      </x:c>
      <x:c t="n" r="AF45">
        <x:v>0</x:v>
      </x:c>
      <x:c t="n" r="AG45">
        <x:v>0</x:v>
      </x:c>
      <x:c t="inlineStr" r="AH45"/>
      <x:c t="inlineStr" r="AI45"/>
      <x:c t="inlineStr" r="AJ45"/>
      <x:c t="inlineStr" r="AK45"/>
      <x:c t="inlineStr" r="AL45"/>
      <x:c t="inlineStr" r="AM45"/>
      <x:c t="inlineStr" r="AN45"/>
      <x:c t="n" r="AO45">
        <x:v>0</x:v>
      </x:c>
      <x:c t="n" r="AP45">
        <x:v>0</x:v>
      </x:c>
      <x:c t="n" r="AQ45">
        <x:v>126</x:v>
      </x:c>
      <x:c t="inlineStr" r="AR45"/>
      <x:c t="inlineStr" r="AS45"/>
      <x:c t="inlineStr" r="AT45"/>
      <x:c t="n" r="AU45">
        <x:v>9</x:v>
      </x:c>
      <x:c t="inlineStr" r="AV45"/>
      <x:c t="inlineStr" r="AW45">
        <x:is>
          <x:t/>
        </x:is>
      </x:c>
      <x:c t="inlineStr" r="AX45">
        <x:is>
          <x:t>sky,tree,plant,building,signage,car,clothing,vehicle,long hair</x:t>
        </x:is>
      </x:c>
      <x:c t="inlineStr" r="AY45">
        <x:is>
          <x:t>street,outdoor</x:t>
        </x:is>
      </x:c>
      <x:c t="inlineStr" r="AZ45">
        <x:is>
          <x:t>woman</x:t>
        </x:is>
      </x:c>
      <x:c t="inlineStr" r="BA45">
        <x:is>
          <x:t>standing</x:t>
        </x:is>
      </x:c>
      <x:c t="inlineStr" r="BB45">
        <x:is>
          <x:t>PHOTO</x:t>
        </x:is>
      </x:c>
      <x:c t="inlineStr" r="BC45"/>
      <x:c r="BD45">
        <x:f>HYPERLINK("https://pbs.twimg.com/ext_tw_video_thumb/1562806676763328512/pu/img/M86wNIdVysGK-ZWD.jpg")</x:f>
      </x:c>
      <x:c t="inlineStr" r="BE45">
        <x:is>
          <x:t/>
        </x:is>
      </x:c>
      <x:c t="inlineStr" r="BF45">
        <x:is>
          <x:t>Não</x:t>
        </x:is>
      </x:c>
      <x:c t="inlineStr" r="BG45"/>
      <x:c t="inlineStr" r="BH45">
        <x:is>
          <x:t/>
        </x:is>
      </x:c>
      <x:c t="inlineStr" r="BI45">
        <x:is>
          <x:t>WOM</x:t>
        </x:is>
      </x:c>
      <x:c t="inlineStr" r="BJ45"/>
      <x:c t="inlineStr" r="BK45">
        <x:is>
          <x:t>Ipiranga,Rock In Rio</x:t>
        </x:is>
      </x:c>
      <x:c t="inlineStr" r="BL45"/>
      <x:c t="inlineStr" r="BM45"/>
      <x:c t="inlineStr" r="BN45"/>
      <x:c t="inlineStr" r="BO45"/>
      <x:c t="inlineStr" r="BP45"/>
      <x:c t="inlineStr" r="BQ45"/>
      <x:c t="inlineStr" r="BR45"/>
      <x:c t="inlineStr" r="BS45"/>
      <x:c t="inlineStr" r="BT45"/>
      <x:c t="inlineStr" r="BU45"/>
      <x:c t="inlineStr" r="BV45"/>
      <x:c t="inlineStr" r="BW45"/>
      <x:c t="inlineStr" r="BX45"/>
      <x:c t="inlineStr" r="BY45"/>
      <x:c t="inlineStr" r="BZ45">
        <x:is>
          <x:t>Ipiranga</x:t>
        </x:is>
      </x:c>
      <x:c t="inlineStr" r="CA45"/>
      <x:c t="inlineStr" r="CB45"/>
      <x:c t="inlineStr" r="CC45"/>
      <x:c t="inlineStr" r="CD45"/>
      <x:c t="inlineStr" r="CE45">
        <x:is>
          <x:t>Rock In Rio</x:t>
        </x:is>
      </x:c>
      <x:c t="inlineStr" r="CF45"/>
    </x:row>
    <x:row r="46">
      <x:c t="n" r="A46">
        <x:v>2840643036</x:v>
      </x:c>
      <x:c t="inlineStr" r="B46">
        <x:is>
          <x:t>29.08.2026</x:t>
        </x:is>
      </x:c>
      <x:c t="inlineStr" r="C46">
        <x:is>
          <x:t>17:59</x:t>
        </x:is>
      </x:c>
      <x:c t="inlineStr" r="D46">
        <x:is>
          <x:t>29.08.2026 19:15</x:t>
        </x:is>
      </x:c>
      <x:c t="inlineStr" r="E46">
        <x:is>
          <x:t/>
        </x:is>
      </x:c>
      <x:c t="str" r="F46">
        <x:v>O Rock in Rio (rockinrio) vai muito além da música. 
Uma das tradições na Cidade do Rock é aproveitar as ativações das marcas e ganhar brindes.
Para a próxima edição do evento, que começa na sexta (4), serão mais de 8 000 horas de experiências em cem ativações que distribuirão cerca de 1 milhão de presentinhos. 
VEJA RIO selecionou as principais para você já ir montando a sua estratégia para curtir ao máximo.
Leia mais pelo link da bio vejario
A cobertura do Rock in Rio por VEJA Rio é um oferecimento de timbrasil
📷: Divulgação
Assine Veja a partir de R$9,90 por mês. Acesse veja.abril.com.br/ofertas</x:v>
      </x:c>
      <x:c t="inlineStr" r="G46">
        <x:is>
          <x:t/>
        </x:is>
      </x:c>
      <x:c t="inlineStr" r="H46"/>
      <x:c t="inlineStr" r="I46">
        <x:is>
          <x:t>Postar</x:t>
        </x:is>
      </x:c>
      <x:c t="inlineStr" r="J46">
        <x:is>
          <x:t>Texto,Álbum,Imagem</x:t>
        </x:is>
      </x:c>
      <x:c t="inlineStr" r="K46"/>
      <x:c r="L46">
        <x:f>HYPERLINK("https://www.instagram.com/p/Dco2e20DxH3/")</x:f>
      </x:c>
      <x:c t="inlineStr" r="M46">
        <x:is>
          <x:t>Negativo</x:t>
        </x:is>
      </x:c>
      <x:c t="inlineStr" r="N46">
        <x:is>
          <x:t>Veja Rio</x:t>
        </x:is>
      </x:c>
      <x:c t="inlineStr" r="O46">
        <x:is>
          <x:t>vejario</x:t>
        </x:is>
      </x:c>
      <x:c r="P46">
        <x:f>HYPERLINK("https://www.instagram.com/vejario/")</x:f>
      </x:c>
      <x:c t="n" r="Q46">
        <x:v>351584</x:v>
      </x:c>
      <x:c t="inlineStr" r="R46"/>
      <x:c t="inlineStr" r="S46"/>
      <x:c t="inlineStr" r="T46">
        <x:is>
          <x:t>instagram.com</x:t>
        </x:is>
      </x:c>
      <x:c t="inlineStr" r="U46">
        <x:is>
          <x:t>Veja Rio</x:t>
        </x:is>
      </x:c>
      <x:c r="V46">
        <x:f>HYPERLINK("https://www.instagram.com/vejario/")</x:f>
      </x:c>
      <x:c t="n" r="W46">
        <x:v>351584</x:v>
      </x:c>
      <x:c t="inlineStr" r="X46"/>
      <x:c t="inlineStr" r="Y46">
        <x:is>
          <x:t>Rede social</x:t>
        </x:is>
      </x:c>
      <x:c t="inlineStr" r="Z46">
        <x:is>
          <x:t>Português</x:t>
        </x:is>
      </x:c>
      <x:c t="inlineStr" r="AA46"/>
      <x:c t="inlineStr" r="AB46"/>
      <x:c t="inlineStr" r="AC46"/>
      <x:c t="inlineStr" r="AD46"/>
      <x:c t="n" r="AE46">
        <x:v>171</x:v>
      </x:c>
      <x:c t="n" r="AF46">
        <x:v>171</x:v>
      </x:c>
      <x:c t="n" r="AG46">
        <x:v>171</x:v>
      </x:c>
      <x:c t="inlineStr" r="AH46"/>
      <x:c t="inlineStr" r="AI46"/>
      <x:c t="inlineStr" r="AJ46"/>
      <x:c t="inlineStr" r="AK46"/>
      <x:c t="inlineStr" r="AL46"/>
      <x:c t="inlineStr" r="AM46"/>
      <x:c t="inlineStr" r="AN46"/>
      <x:c t="n" r="AO46">
        <x:v>0</x:v>
      </x:c>
      <x:c t="inlineStr" r="AP46"/>
      <x:c t="inlineStr" r="AQ46"/>
      <x:c t="inlineStr" r="AR46"/>
      <x:c t="inlineStr" r="AS46"/>
      <x:c t="inlineStr" r="AT46"/>
      <x:c t="n" r="AU46">
        <x:v>351584</x:v>
      </x:c>
      <x:c t="inlineStr" r="AV46"/>
      <x:c t="inlineStr" r="AW46">
        <x:is>
          <x:t/>
        </x:is>
      </x:c>
      <x:c t="inlineStr" r="AX46">
        <x:is>
          <x:t>text,sunglasses,clothing,sky,tooth,shirt</x:t>
        </x:is>
      </x:c>
      <x:c t="inlineStr" r="AY46">
        <x:is>
          <x:t>outdoor</x:t>
        </x:is>
      </x:c>
      <x:c t="inlineStr" r="AZ46">
        <x:is>
          <x:t>man,woman</x:t>
        </x:is>
      </x:c>
      <x:c t="inlineStr" r="BA46">
        <x:is>
          <x:t>standing,cheering</x:t>
        </x:is>
      </x:c>
      <x:c t="inlineStr" r="BB46">
        <x:is>
          <x:t>ILLUSTRATION</x:t>
        </x:is>
      </x:c>
      <x:c t="inlineStr" r="BC46">
        <x:is>
          <x:t>photo caption</x:t>
        </x:is>
      </x:c>
      <x:c t="inlineStr" r="BD46">
        <x:is>
          <x:t>https://scontent-fra5-1.cdninstagram.com/v/t51.82787-15/790081435_18617723377052824_4773796722551040376_n.jpg?stp=dst-jpg_e35_tt6&amp;_nc_cat=110&amp;ig_cache_key=Mzk3NDY2NTIxODI3Mjc2MjA5OQ%3D%3D.3-ccb7-5&amp;ccb=7-5&amp;_nc_sid=58cdad&amp;efg=eyJ2ZW5jb2RlX3RhZyI6IkNBUk9VU0VMX0lURU0ueHBpZHMuMTA4MC5zZHIucmVndWxhcl9waG90by5DMyJ9&amp;_nc_ohc=4TFtua58jhoQ7kNvwF0DND3&amp;_nc_oc=Ado_E3GyKxw-P5iE0Wqz8KV5VmuqMflSJvGrg_R-_FEY0h-Owp7EqyiHMecc7pofJkE&amp;_nc_ad=z-m&amp;_nc_cid=1097&amp;_nc_zt=23&amp;_nc_ht=scontent-fra5-1.cdninstagram.com&amp;_nc_gid=BfQInC14PcQHohVtE7xwMQ&amp;_nc_ss=7a22e&amp;oh=00_AQIhohSwv0Fzfmi5bZAGGmBDK8i7QU7m3zotHL-zCk_Jpw&amp;oe=6A9930C3</x:t>
        </x:is>
      </x:c>
      <x:c t="inlineStr" r="BE46">
        <x:is>
          <x:t/>
        </x:is>
      </x:c>
      <x:c t="inlineStr" r="BF46">
        <x:is>
          <x:t>Não</x:t>
        </x:is>
      </x:c>
      <x:c t="inlineStr" r="BG46"/>
      <x:c t="inlineStr" r="BH46">
        <x:is>
          <x:t/>
        </x:is>
      </x:c>
      <x:c t="inlineStr" r="BI46">
        <x:is>
          <x:t>Promoção</x:t>
        </x:is>
      </x:c>
      <x:c t="inlineStr" r="BJ46"/>
      <x:c t="inlineStr" r="BK46">
        <x:is>
          <x:t>Rock In Rio</x:t>
        </x:is>
      </x:c>
      <x:c t="inlineStr" r="BL46"/>
      <x:c t="inlineStr" r="BM46"/>
      <x:c t="inlineStr" r="BN46"/>
      <x:c t="inlineStr" r="BO46"/>
      <x:c t="inlineStr" r="BP46"/>
      <x:c t="inlineStr" r="BQ46"/>
      <x:c t="inlineStr" r="BR46"/>
      <x:c t="inlineStr" r="BS46"/>
      <x:c t="inlineStr" r="BT46"/>
      <x:c t="inlineStr" r="BU46"/>
      <x:c t="inlineStr" r="BV46"/>
      <x:c t="inlineStr" r="BW46"/>
      <x:c t="inlineStr" r="BX46"/>
      <x:c t="inlineStr" r="BY46"/>
      <x:c t="inlineStr" r="BZ46"/>
      <x:c t="inlineStr" r="CA46"/>
      <x:c t="inlineStr" r="CB46"/>
      <x:c t="inlineStr" r="CC46"/>
      <x:c t="inlineStr" r="CD46"/>
      <x:c t="inlineStr" r="CE46">
        <x:is>
          <x:t>Rock In Rio</x:t>
        </x:is>
      </x:c>
      <x:c t="inlineStr" r="CF46"/>
    </x:row>
    <x:row r="47">
      <x:c t="n" r="A47">
        <x:v>2134536823</x:v>
      </x:c>
      <x:c t="inlineStr" r="B47">
        <x:is>
          <x:t>29.08.2026</x:t>
        </x:is>
      </x:c>
      <x:c t="inlineStr" r="C47">
        <x:is>
          <x:t>12:00</x:t>
        </x:is>
      </x:c>
      <x:c t="inlineStr" r="D47">
        <x:is>
          <x:t>29.08.2026 19:59</x:t>
        </x:is>
      </x:c>
      <x:c t="inlineStr" r="E47">
        <x:is>
          <x:t/>
        </x:is>
      </x:c>
      <x:c t="str" r="F47">
        <x:v>A terceira atração do line-up 2027 acabou de ser confirmada. 🦍🔥
DJ TOPO é hoje um dos nomes mais quentes do funk e da música eletrônica no Brasil — pioneiro em misturar a MTG de Belo Horizonte com clássicos da MPB e do Pop. Paulistano do Ipiranga, trocou a faculdade de administração pela música em 2020 e viralizou no TikTok até virar fenômeno nacional.
É dele o hit "MTG Quem Não Quer Sou Eu", com Seu Jorge e MC Leozin — certificado diamante triplo e #1 do Brasil. Na bagagem, ainda tem parcerias com Luísa Sonza, MC Kevin O Chris, MC Livinho, Natiruts e passagens por palcos como o Rock in Rio.
Som que mistura tudo e não erra. Agora, no Carnaval de Pinhal.
A festa já começou a ganhar forma: parte da nossa line-up foi revelada, e ainda vem muito mais!
🎟️ Ingressos à venda a partir de 1º de setembro.
📍 06 a 09 de fevereiro | Espírito Santo do Pinhal
A gente se encontra aqui.
Bloco do Gorila — Viva o Carnaval de Pinhal.
#carnaval #blocodogorila ##CarnavalPinhal #EspíritoSantoDoPinhal</x:v>
      </x:c>
      <x:c t="inlineStr" r="G47">
        <x:is>
          <x:t/>
        </x:is>
      </x:c>
      <x:c t="inlineStr" r="H47"/>
      <x:c t="inlineStr" r="I47">
        <x:is>
          <x:t>Postar</x:t>
        </x:is>
      </x:c>
      <x:c t="inlineStr" r="J47">
        <x:is>
          <x:t>Texto,Vídeo</x:t>
        </x:is>
      </x:c>
      <x:c t="inlineStr" r="K47">
        <x:is>
          <x:t>FacebookReels</x:t>
        </x:is>
      </x:c>
      <x:c r="L47">
        <x:f>HYPERLINK("https://www.facebook.com/1671221875003452")</x:f>
      </x:c>
      <x:c t="inlineStr" r="M47">
        <x:is>
          <x:t>Negativo</x:t>
        </x:is>
      </x:c>
      <x:c t="inlineStr" r="N47">
        <x:is>
          <x:t>Bloco do Gorila</x:t>
        </x:is>
      </x:c>
      <x:c t="inlineStr" r="O47"/>
      <x:c r="P47">
        <x:f>HYPERLINK("https://www.facebook.com/360377404486668")</x:f>
      </x:c>
      <x:c t="n" r="Q47">
        <x:v>5894</x:v>
      </x:c>
      <x:c t="inlineStr" r="R47">
        <x:is>
          <x:t>Comunidade</x:t>
        </x:is>
      </x:c>
      <x:c t="inlineStr" r="S47"/>
      <x:c t="inlineStr" r="T47">
        <x:is>
          <x:t>facebook.com</x:t>
        </x:is>
      </x:c>
      <x:c t="inlineStr" r="U47">
        <x:is>
          <x:t>Bloco do Gorila</x:t>
        </x:is>
      </x:c>
      <x:c r="V47">
        <x:f>HYPERLINK("https://www.facebook.com/360377404486668")</x:f>
      </x:c>
      <x:c t="n" r="W47">
        <x:v>5894</x:v>
      </x:c>
      <x:c t="inlineStr" r="X47"/>
      <x:c t="inlineStr" r="Y47">
        <x:is>
          <x:t>Rede social</x:t>
        </x:is>
      </x:c>
      <x:c t="inlineStr" r="Z47">
        <x:is>
          <x:t>Português</x:t>
        </x:is>
      </x:c>
      <x:c t="inlineStr" r="AA47">
        <x:is>
          <x:t>Brasil</x:t>
        </x:is>
      </x:c>
      <x:c t="inlineStr" r="AB47">
        <x:is>
          <x:t>São Paulo</x:t>
        </x:is>
      </x:c>
      <x:c t="inlineStr" r="AC47">
        <x:is>
          <x:t>Espírito Santo do Pinhal</x:t>
        </x:is>
      </x:c>
      <x:c t="inlineStr" r="AD47"/>
      <x:c t="n" r="AE47">
        <x:v>7</x:v>
      </x:c>
      <x:c t="n" r="AF47">
        <x:v>13</x:v>
      </x:c>
      <x:c t="n" r="AG47">
        <x:v>4</x:v>
      </x:c>
      <x:c t="n" r="AH47">
        <x:v>3</x:v>
      </x:c>
      <x:c t="n" r="AI47">
        <x:v>0</x:v>
      </x:c>
      <x:c t="n" r="AJ47">
        <x:v>0</x:v>
      </x:c>
      <x:c t="n" r="AK47">
        <x:v>0</x:v>
      </x:c>
      <x:c t="n" r="AL47">
        <x:v>0</x:v>
      </x:c>
      <x:c t="n" r="AM47">
        <x:v>0</x:v>
      </x:c>
      <x:c t="inlineStr" r="AN47"/>
      <x:c t="n" r="AO47">
        <x:v>1</x:v>
      </x:c>
      <x:c t="n" r="AP47">
        <x:v>5</x:v>
      </x:c>
      <x:c t="n" r="AQ47">
        <x:v>731</x:v>
      </x:c>
      <x:c t="inlineStr" r="AR47"/>
      <x:c t="inlineStr" r="AS47"/>
      <x:c t="inlineStr" r="AT47"/>
      <x:c t="n" r="AU47">
        <x:v>5894</x:v>
      </x:c>
      <x:c t="inlineStr" r="AV47"/>
      <x:c t="inlineStr" r="AW47">
        <x:is>
          <x:t/>
        </x:is>
      </x:c>
      <x:c t="inlineStr" r="AX47">
        <x:is>
          <x:t>facial hair,hat,clothing,text,moustache</x:t>
        </x:is>
      </x:c>
      <x:c t="inlineStr" r="AY47">
        <x:is>
          <x:t/>
        </x:is>
      </x:c>
      <x:c t="inlineStr" r="AZ47">
        <x:is>
          <x:t>man</x:t>
        </x:is>
      </x:c>
      <x:c t="inlineStr" r="BA47">
        <x:is>
          <x:t/>
        </x:is>
      </x:c>
      <x:c t="inlineStr" r="BB47">
        <x:is>
          <x:t>ILLUSTRATION</x:t>
        </x:is>
      </x:c>
      <x:c t="inlineStr" r="BC47">
        <x:is>
          <x:t>portrait</x:t>
        </x:is>
      </x:c>
      <x:c t="inlineStr" r="BD47">
        <x:is>
          <x:t>https://scontent-jnb2-1.xx.fbcdn.net/v/t15.5256-10/786492724_1824388108938255_7079617365622623293_n.jpg?stp=dst-jpg_tt6&amp;cstp=mx1080x1920&amp;ctp=p565x565&amp;_nc_cat=102&amp;ccb=1-7&amp;_nc_sid=d2b52d&amp;_nc_ohc=O6KPvIF4lr4Q7kNvwE4l_16&amp;_nc_oc=Adps4OEWxMct0IvH52zWMD5c0_1OU_uH4QVceTGsBkiD7oHxzYUDNDJbITbIn2DvbL8&amp;_nc_zt=23&amp;_nc_ht=scontent-jnb2-1.xx&amp;_nc_gid=YHt3xRBPD8qbIPlzUc2rKA&amp;_nc_ss=70100&amp;oh=00_AQKPY3hqmDFXGM64-9H2Z8dS4AFZvnl_8PoNXswOqCSJvg&amp;oe=6A9933B7</x:t>
        </x:is>
      </x:c>
      <x:c t="inlineStr" r="BE47">
        <x:is>
          <x:t/>
        </x:is>
      </x:c>
      <x:c t="inlineStr" r="BF47">
        <x:is>
          <x:t>Não</x:t>
        </x:is>
      </x:c>
      <x:c t="inlineStr" r="BG47"/>
      <x:c t="inlineStr" r="BH47">
        <x:is>
          <x:t>Música</x:t>
        </x:is>
      </x:c>
      <x:c t="inlineStr" r="BI47">
        <x:is>
          <x:t>Artigo</x:t>
        </x:is>
      </x:c>
      <x:c t="inlineStr" r="BJ47"/>
      <x:c t="inlineStr" r="BK47">
        <x:is>
          <x:t>Ipiranga,Rock In Rio</x:t>
        </x:is>
      </x:c>
      <x:c t="inlineStr" r="BL47"/>
      <x:c t="inlineStr" r="BM47"/>
      <x:c t="inlineStr" r="BN47"/>
      <x:c t="inlineStr" r="BO47"/>
      <x:c t="inlineStr" r="BP47"/>
      <x:c t="inlineStr" r="BQ47"/>
      <x:c t="inlineStr" r="BR47"/>
      <x:c t="inlineStr" r="BS47"/>
      <x:c t="inlineStr" r="BT47"/>
      <x:c t="inlineStr" r="BU47"/>
      <x:c t="inlineStr" r="BV47"/>
      <x:c t="inlineStr" r="BW47"/>
      <x:c t="inlineStr" r="BX47"/>
      <x:c t="inlineStr" r="BY47"/>
      <x:c t="inlineStr" r="BZ47">
        <x:is>
          <x:t>Ipiranga</x:t>
        </x:is>
      </x:c>
      <x:c t="inlineStr" r="CA47"/>
      <x:c t="inlineStr" r="CB47"/>
      <x:c t="inlineStr" r="CC47"/>
      <x:c t="inlineStr" r="CD47"/>
      <x:c t="inlineStr" r="CE47">
        <x:is>
          <x:t>Rock In Rio</x:t>
        </x:is>
      </x:c>
      <x:c t="inlineStr" r="CF47"/>
    </x:row>
    <x:row r="48">
      <x:c t="n" r="A48">
        <x:v>264332503</x:v>
      </x:c>
      <x:c t="inlineStr" r="B48">
        <x:is>
          <x:t>29.08.2026</x:t>
        </x:is>
      </x:c>
      <x:c t="inlineStr" r="C48">
        <x:is>
          <x:t>12:00</x:t>
        </x:is>
      </x:c>
      <x:c t="inlineStr" r="D48">
        <x:is>
          <x:t>29.08.2026 12:05</x:t>
        </x:is>
      </x:c>
      <x:c t="inlineStr" r="E48">
        <x:is>
          <x:t>Bloco do Gorila 2027 | Terceira atração confirmada: Dj Topo</x:t>
        </x:is>
      </x:c>
      <x:c t="str" r="F48">
        <x:v>A terceira atração do line-up 2027 acabou de ser confirmada. 🦍🔥
DJ TOPO é hoje um dos nomes mais quentes do funk e da música eletrônica no Brasil — pioneiro em misturar a MTG de Belo Horizonte com clássicos da MPB e do Pop. Paulistano do Ipiranga, trocou a faculdade de administração pela música em 2020 e viralizou no TikTok até virar fenômeno nacional.
É dele o hit "MTG Quem Não Quer Sou Eu", com Seu Jorge e MC Leozin — certificado diamante triplo e #1 do Brasil. Na bagagem, ainda tem parcerias com Luísa Sonza, MC Kevin O Chris, MC Livinho, Natiruts e passagens por palcos como o Rock in Rio.
Som que mistura tudo e não erra. Agora, no Carnaval de Pinhal.
A festa já começou a ganhar forma: parte da nossa line-up foi revelada, e ainda vem muito mais!
🎟️ Ingressos à venda a partir de 1º de setembro.
📍 06 a 09 de fevereiro | Espírito Santo do Pinhal
A gente se encontra aqui.
Bloco do Gorila — Viva o Carnaval de Pinhal.
#carnaval #blocodogorila ##CarnavalPinhal #EspíritoSantoDoPinhal</x:v>
      </x:c>
      <x:c t="str" r="G48">
        <x:v>поку
[เพลง]
&gt;&gt; [เพลง]
[เพลง]</x:v>
      </x:c>
      <x:c t="inlineStr" r="H48">
        <x:is>
          <x:t>Tailandês</x:t>
        </x:is>
      </x:c>
      <x:c t="inlineStr" r="I48">
        <x:is>
          <x:t>Postar</x:t>
        </x:is>
      </x:c>
      <x:c t="inlineStr" r="J48">
        <x:is>
          <x:t>Texto,Vídeo,Legendas</x:t>
        </x:is>
      </x:c>
      <x:c t="inlineStr" r="K48"/>
      <x:c r="L48">
        <x:f>HYPERLINK("https://www.youtube.com/watch?v=EDdM1J9lmBw")</x:f>
      </x:c>
      <x:c t="inlineStr" r="M48">
        <x:is>
          <x:t>Negativo</x:t>
        </x:is>
      </x:c>
      <x:c t="inlineStr" r="N48">
        <x:is>
          <x:t>Bloco do Gorila</x:t>
        </x:is>
      </x:c>
      <x:c t="inlineStr" r="O48">
        <x:is>
          <x:t>blocodogorila</x:t>
        </x:is>
      </x:c>
      <x:c r="P48">
        <x:f>HYPERLINK("https://www.youtube.com/channel/UC4WLo2tBZ6iJlOjpERd7ajg")</x:f>
      </x:c>
      <x:c t="n" r="Q48">
        <x:v>17</x:v>
      </x:c>
      <x:c t="inlineStr" r="R48">
        <x:is>
          <x:t>Homem</x:t>
        </x:is>
      </x:c>
      <x:c t="inlineStr" r="S48"/>
      <x:c t="inlineStr" r="T48">
        <x:is>
          <x:t>youtube.com</x:t>
        </x:is>
      </x:c>
      <x:c t="inlineStr" r="U48">
        <x:is>
          <x:t>Bloco do Gorila</x:t>
        </x:is>
      </x:c>
      <x:c r="V48">
        <x:f>HYPERLINK("https://www.youtube.com/channel/UC4WLo2tBZ6iJlOjpERd7ajg")</x:f>
      </x:c>
      <x:c t="n" r="W48">
        <x:v>17</x:v>
      </x:c>
      <x:c t="inlineStr" r="X48"/>
      <x:c t="inlineStr" r="Y48">
        <x:is>
          <x:t>Rede social</x:t>
        </x:is>
      </x:c>
      <x:c t="inlineStr" r="Z48">
        <x:is>
          <x:t>Português</x:t>
        </x:is>
      </x:c>
      <x:c t="inlineStr" r="AA48"/>
      <x:c t="inlineStr" r="AB48"/>
      <x:c t="inlineStr" r="AC48"/>
      <x:c t="inlineStr" r="AD48"/>
      <x:c t="n" r="AE48">
        <x:v>1</x:v>
      </x:c>
      <x:c t="n" r="AF48">
        <x:v>1</x:v>
      </x:c>
      <x:c t="n" r="AG48">
        <x:v>1</x:v>
      </x:c>
      <x:c t="inlineStr" r="AH48"/>
      <x:c t="inlineStr" r="AI48"/>
      <x:c t="inlineStr" r="AJ48"/>
      <x:c t="inlineStr" r="AK48"/>
      <x:c t="inlineStr" r="AL48"/>
      <x:c t="inlineStr" r="AM48"/>
      <x:c t="inlineStr" r="AN48"/>
      <x:c t="inlineStr" r="AO48"/>
      <x:c t="inlineStr" r="AP48"/>
      <x:c t="n" r="AQ48">
        <x:v>130</x:v>
      </x:c>
      <x:c t="inlineStr" r="AR48"/>
      <x:c t="inlineStr" r="AS48"/>
      <x:c t="inlineStr" r="AT48"/>
      <x:c t="n" r="AU48">
        <x:v>17</x:v>
      </x:c>
      <x:c t="inlineStr" r="AV48"/>
      <x:c t="inlineStr" r="AW48">
        <x:is>
          <x:t/>
        </x:is>
      </x:c>
      <x:c t="inlineStr" r="AX48">
        <x:is>
          <x:t>long hair,sunglasses,tooth,skin,brown hair</x:t>
        </x:is>
      </x:c>
      <x:c t="inlineStr" r="AY48">
        <x:is>
          <x:t/>
        </x:is>
      </x:c>
      <x:c t="inlineStr" r="AZ48">
        <x:is>
          <x:t>woman</x:t>
        </x:is>
      </x:c>
      <x:c t="inlineStr" r="BA48">
        <x:is>
          <x:t>smile</x:t>
        </x:is>
      </x:c>
      <x:c t="inlineStr" r="BB48">
        <x:is>
          <x:t>ILLUSTRATION</x:t>
        </x:is>
      </x:c>
      <x:c t="inlineStr" r="BC48">
        <x:is>
          <x:t>screenshot</x:t>
        </x:is>
      </x:c>
      <x:c r="BD48">
        <x:f>HYPERLINK("https://i.ytimg.com/vi/EDdM1J9lmBw/maxresdefault.jpg")</x:f>
      </x:c>
      <x:c t="inlineStr" r="BE48">
        <x:is>
          <x:t/>
        </x:is>
      </x:c>
      <x:c t="inlineStr" r="BF48">
        <x:is>
          <x:t>Não</x:t>
        </x:is>
      </x:c>
      <x:c t="inlineStr" r="BG48"/>
      <x:c t="inlineStr" r="BH48">
        <x:is>
          <x:t>Música</x:t>
        </x:is>
      </x:c>
      <x:c t="inlineStr" r="BI48">
        <x:is>
          <x:t>Artigo</x:t>
        </x:is>
      </x:c>
      <x:c t="inlineStr" r="BJ48"/>
      <x:c t="inlineStr" r="BK48">
        <x:is>
          <x:t>Ipiranga,Rock In Rio</x:t>
        </x:is>
      </x:c>
      <x:c t="inlineStr" r="BL48"/>
      <x:c t="inlineStr" r="BM48"/>
      <x:c t="inlineStr" r="BN48"/>
      <x:c t="inlineStr" r="BO48"/>
      <x:c t="inlineStr" r="BP48"/>
      <x:c t="inlineStr" r="BQ48"/>
      <x:c t="inlineStr" r="BR48"/>
      <x:c t="inlineStr" r="BS48"/>
      <x:c t="inlineStr" r="BT48"/>
      <x:c t="inlineStr" r="BU48"/>
      <x:c t="inlineStr" r="BV48"/>
      <x:c t="inlineStr" r="BW48"/>
      <x:c t="inlineStr" r="BX48"/>
      <x:c t="inlineStr" r="BY48"/>
      <x:c t="inlineStr" r="BZ48">
        <x:is>
          <x:t>Ipiranga</x:t>
        </x:is>
      </x:c>
      <x:c t="inlineStr" r="CA48"/>
      <x:c t="inlineStr" r="CB48"/>
      <x:c t="inlineStr" r="CC48"/>
      <x:c t="inlineStr" r="CD48"/>
      <x:c t="inlineStr" r="CE48">
        <x:is>
          <x:t>Rock In Rio</x:t>
        </x:is>
      </x:c>
      <x:c t="inlineStr" r="CF48"/>
    </x:row>
    <x:row r="49">
      <x:c t="n" r="A49">
        <x:v>7525124</x:v>
      </x:c>
      <x:c t="inlineStr" r="B49">
        <x:is>
          <x:t>28.08.2026</x:t>
        </x:is>
      </x:c>
      <x:c t="inlineStr" r="C49">
        <x:is>
          <x:t>20:38</x:t>
        </x:is>
      </x:c>
      <x:c t="inlineStr" r="D49">
        <x:is>
          <x:t>28.08.2026 20:40</x:t>
        </x:is>
      </x:c>
      <x:c t="inlineStr" r="E49">
        <x:is>
          <x:t/>
        </x:is>
      </x:c>
      <x:c t="str" r="F49">
        <x:v>pfvr anitters que me seguem, ajudem meu namorado 😭😭😭😭😭 não custa nada prometo fazer ele dar 20k de votos na Anitta no VMA
Quer ver o @rockinrio fazer parte dessa história??
Marquem todosss
@ifood24horass @ipiranga @TIMBrasil @KitKatBrasil @CocaCola_Br @doarda @ddlovato @cea_brasil @itau @philco_brasil @brasiltictoc @vwbrasil @cocacola_br @portallovato @demilovatobr @globoplay @multishow
#rockinrio</x:v>
      </x:c>
      <x:c t="inlineStr" r="G49">
        <x:is>
          <x:t/>
        </x:is>
      </x:c>
      <x:c t="inlineStr" r="H49"/>
      <x:c t="inlineStr" r="I49">
        <x:is>
          <x:t>Repostagem estendida</x:t>
        </x:is>
      </x:c>
      <x:c t="inlineStr" r="J49">
        <x:is>
          <x:t>Vídeo,Texto</x:t>
        </x:is>
      </x:c>
      <x:c t="inlineStr" r="K49"/>
      <x:c r="L49">
        <x:f>HYPERLINK("https://x.com/jefcom1f/status/2093483364221075726")</x:f>
      </x:c>
      <x:c t="inlineStr" r="M49">
        <x:is>
          <x:t>Negativo</x:t>
        </x:is>
      </x:c>
      <x:c t="inlineStr" r="N49">
        <x:is>
          <x:t>jef | dindo do neneco</x:t>
        </x:is>
      </x:c>
      <x:c t="inlineStr" r="O49">
        <x:is>
          <x:t>jefcom1f</x:t>
        </x:is>
      </x:c>
      <x:c r="P49">
        <x:f>HYPERLINK("http://x.com/jefcom1f")</x:f>
      </x:c>
      <x:c t="n" r="Q49">
        <x:v>909</x:v>
      </x:c>
      <x:c t="inlineStr" r="R49">
        <x:is>
          <x:t>Homem</x:t>
        </x:is>
      </x:c>
      <x:c t="inlineStr" r="S49"/>
      <x:c t="inlineStr" r="T49">
        <x:is>
          <x:t>x.com</x:t>
        </x:is>
      </x:c>
      <x:c t="inlineStr" r="U49"/>
      <x:c t="inlineStr" r="V49"/>
      <x:c t="inlineStr" r="W49"/>
      <x:c t="inlineStr" r="X49"/>
      <x:c t="inlineStr" r="Y49">
        <x:is>
          <x:t>Rede social</x:t>
        </x:is>
      </x:c>
      <x:c t="inlineStr" r="Z49">
        <x:is>
          <x:t>Português</x:t>
        </x:is>
      </x:c>
      <x:c t="inlineStr" r="AA49">
        <x:is>
          <x:t>Brasil</x:t>
        </x:is>
      </x:c>
      <x:c t="inlineStr" r="AB49">
        <x:is>
          <x:t>São Paulo</x:t>
        </x:is>
      </x:c>
      <x:c t="inlineStr" r="AC49"/>
      <x:c t="inlineStr" r="AD49"/>
      <x:c t="n" r="AE49">
        <x:v>0</x:v>
      </x:c>
      <x:c t="n" r="AF49">
        <x:v>0</x:v>
      </x:c>
      <x:c t="n" r="AG49">
        <x:v>0</x:v>
      </x:c>
      <x:c t="inlineStr" r="AH49"/>
      <x:c t="inlineStr" r="AI49"/>
      <x:c t="inlineStr" r="AJ49"/>
      <x:c t="inlineStr" r="AK49"/>
      <x:c t="inlineStr" r="AL49"/>
      <x:c t="inlineStr" r="AM49"/>
      <x:c t="inlineStr" r="AN49"/>
      <x:c t="n" r="AO49">
        <x:v>0</x:v>
      </x:c>
      <x:c t="n" r="AP49">
        <x:v>0</x:v>
      </x:c>
      <x:c t="n" r="AQ49">
        <x:v>45</x:v>
      </x:c>
      <x:c t="inlineStr" r="AR49"/>
      <x:c t="inlineStr" r="AS49"/>
      <x:c t="inlineStr" r="AT49"/>
      <x:c t="n" r="AU49">
        <x:v>909</x:v>
      </x:c>
      <x:c t="inlineStr" r="AV49"/>
      <x:c t="inlineStr" r="AW49">
        <x:is>
          <x:t/>
        </x:is>
      </x:c>
      <x:c t="inlineStr" r="AX49">
        <x:is>
          <x:t>facial hair,clothing,skin,shirt,tooth,moustache</x:t>
        </x:is>
      </x:c>
      <x:c t="inlineStr" r="AY49">
        <x:is>
          <x:t/>
        </x:is>
      </x:c>
      <x:c t="inlineStr" r="AZ49">
        <x:is>
          <x:t>man</x:t>
        </x:is>
      </x:c>
      <x:c t="inlineStr" r="BA49">
        <x:is>
          <x:t/>
        </x:is>
      </x:c>
      <x:c t="inlineStr" r="BB49">
        <x:is>
          <x:t>PHOTO</x:t>
        </x:is>
      </x:c>
      <x:c t="inlineStr" r="BC49">
        <x:is>
          <x:t>selfie</x:t>
        </x:is>
      </x:c>
      <x:c r="BD49">
        <x:f>HYPERLINK("https://pbs.twimg.com/amplify_video_thumb/2093480743317942272/img/rpwaLuYaIo2HVqQg.jpg")</x:f>
      </x:c>
      <x:c t="inlineStr" r="BE49">
        <x:is>
          <x:t/>
        </x:is>
      </x:c>
      <x:c t="inlineStr" r="BF49">
        <x:is>
          <x:t>Não</x:t>
        </x:is>
      </x:c>
      <x:c t="inlineStr" r="BG49"/>
      <x:c t="inlineStr" r="BH49">
        <x:is>
          <x:t>Jogo</x:t>
        </x:is>
      </x:c>
      <x:c t="inlineStr" r="BI49">
        <x:is>
          <x:t>Promoção</x:t>
        </x:is>
      </x:c>
      <x:c t="inlineStr" r="BJ49"/>
      <x:c t="inlineStr" r="BK49">
        <x:is>
          <x:t>Ipiranga,Rock In Rio</x:t>
        </x:is>
      </x:c>
      <x:c t="inlineStr" r="BL49"/>
      <x:c t="inlineStr" r="BM49"/>
      <x:c t="inlineStr" r="BN49"/>
      <x:c t="inlineStr" r="BO49"/>
      <x:c t="inlineStr" r="BP49"/>
      <x:c t="inlineStr" r="BQ49"/>
      <x:c t="inlineStr" r="BR49"/>
      <x:c t="inlineStr" r="BS49"/>
      <x:c t="inlineStr" r="BT49"/>
      <x:c t="inlineStr" r="BU49"/>
      <x:c t="inlineStr" r="BV49"/>
      <x:c t="inlineStr" r="BW49"/>
      <x:c t="inlineStr" r="BX49"/>
      <x:c t="inlineStr" r="BY49"/>
      <x:c t="inlineStr" r="BZ49">
        <x:is>
          <x:t>Ipiranga</x:t>
        </x:is>
      </x:c>
      <x:c t="inlineStr" r="CA49"/>
      <x:c t="inlineStr" r="CB49"/>
      <x:c t="inlineStr" r="CC49"/>
      <x:c t="inlineStr" r="CD49"/>
      <x:c t="inlineStr" r="CE49">
        <x:is>
          <x:t>Rock In Rio</x:t>
        </x:is>
      </x:c>
      <x:c t="inlineStr" r="CF49"/>
    </x:row>
    <x:row r="50">
      <x:c t="n" r="A50">
        <x:v>1648443946</x:v>
      </x:c>
      <x:c t="inlineStr" r="B50">
        <x:is>
          <x:t>28.08.2026</x:t>
        </x:is>
      </x:c>
      <x:c t="inlineStr" r="C50">
        <x:is>
          <x:t>20:37</x:t>
        </x:is>
      </x:c>
      <x:c t="inlineStr" r="D50">
        <x:is>
          <x:t>28.08.2026 20:38</x:t>
        </x:is>
      </x:c>
      <x:c t="inlineStr" r="E50">
        <x:is>
          <x:t/>
        </x:is>
      </x:c>
      <x:c t="str" r="F50">
        <x:v>PELO AMOR DE DEUS AJUDEM MEU NAMORADO A CONSEGUIR ESSE INGRESSO
Quer ver o @rockinrio fazer parte dessa história??
Marquem todosss
@ifood24horass @ipiranga @TIMBrasil @KitKatBrasil @CocaCola_Br @doarda @ddlovato @cea_brasil @itau @philco_brasil @brasiltictoc @vwbrasil @cocacola_br @portallovato @demilovatobr @globoplay @multishow
#rockinrio</x:v>
      </x:c>
      <x:c t="inlineStr" r="G50">
        <x:is>
          <x:t/>
        </x:is>
      </x:c>
      <x:c t="inlineStr" r="H50"/>
      <x:c t="inlineStr" r="I50">
        <x:is>
          <x:t>Repostagem estendida</x:t>
        </x:is>
      </x:c>
      <x:c t="inlineStr" r="J50">
        <x:is>
          <x:t>Vídeo,Texto</x:t>
        </x:is>
      </x:c>
      <x:c t="inlineStr" r="K50"/>
      <x:c r="L50">
        <x:f>HYPERLINK("https://x.com/jefcom1f/status/2093483123417719016")</x:f>
      </x:c>
      <x:c t="inlineStr" r="M50">
        <x:is>
          <x:t>Negativo</x:t>
        </x:is>
      </x:c>
      <x:c t="inlineStr" r="N50">
        <x:is>
          <x:t>jef | dindo do neneco</x:t>
        </x:is>
      </x:c>
      <x:c t="inlineStr" r="O50">
        <x:is>
          <x:t>jefcom1f</x:t>
        </x:is>
      </x:c>
      <x:c r="P50">
        <x:f>HYPERLINK("http://x.com/jefcom1f")</x:f>
      </x:c>
      <x:c t="n" r="Q50">
        <x:v>909</x:v>
      </x:c>
      <x:c t="inlineStr" r="R50">
        <x:is>
          <x:t>Homem</x:t>
        </x:is>
      </x:c>
      <x:c t="inlineStr" r="S50"/>
      <x:c t="inlineStr" r="T50">
        <x:is>
          <x:t>x.com</x:t>
        </x:is>
      </x:c>
      <x:c t="inlineStr" r="U50"/>
      <x:c t="inlineStr" r="V50"/>
      <x:c t="inlineStr" r="W50"/>
      <x:c t="inlineStr" r="X50"/>
      <x:c t="inlineStr" r="Y50">
        <x:is>
          <x:t>Rede social</x:t>
        </x:is>
      </x:c>
      <x:c t="inlineStr" r="Z50">
        <x:is>
          <x:t>Português</x:t>
        </x:is>
      </x:c>
      <x:c t="inlineStr" r="AA50">
        <x:is>
          <x:t>Brasil</x:t>
        </x:is>
      </x:c>
      <x:c t="inlineStr" r="AB50">
        <x:is>
          <x:t>São Paulo</x:t>
        </x:is>
      </x:c>
      <x:c t="inlineStr" r="AC50"/>
      <x:c t="inlineStr" r="AD50"/>
      <x:c t="n" r="AE50">
        <x:v>0</x:v>
      </x:c>
      <x:c t="n" r="AF50">
        <x:v>0</x:v>
      </x:c>
      <x:c t="n" r="AG50">
        <x:v>0</x:v>
      </x:c>
      <x:c t="inlineStr" r="AH50"/>
      <x:c t="inlineStr" r="AI50"/>
      <x:c t="inlineStr" r="AJ50"/>
      <x:c t="inlineStr" r="AK50"/>
      <x:c t="inlineStr" r="AL50"/>
      <x:c t="inlineStr" r="AM50"/>
      <x:c t="inlineStr" r="AN50"/>
      <x:c t="n" r="AO50">
        <x:v>0</x:v>
      </x:c>
      <x:c t="n" r="AP50">
        <x:v>0</x:v>
      </x:c>
      <x:c t="n" r="AQ50">
        <x:v>22</x:v>
      </x:c>
      <x:c t="inlineStr" r="AR50"/>
      <x:c t="inlineStr" r="AS50"/>
      <x:c t="inlineStr" r="AT50"/>
      <x:c t="n" r="AU50">
        <x:v>909</x:v>
      </x:c>
      <x:c t="inlineStr" r="AV50"/>
      <x:c t="inlineStr" r="AW50">
        <x:is>
          <x:t/>
        </x:is>
      </x:c>
      <x:c t="inlineStr" r="AX50">
        <x:is>
          <x:t>facial hair,clothing,skin,shirt,tooth,moustache</x:t>
        </x:is>
      </x:c>
      <x:c t="inlineStr" r="AY50">
        <x:is>
          <x:t/>
        </x:is>
      </x:c>
      <x:c t="inlineStr" r="AZ50">
        <x:is>
          <x:t>man</x:t>
        </x:is>
      </x:c>
      <x:c t="inlineStr" r="BA50">
        <x:is>
          <x:t/>
        </x:is>
      </x:c>
      <x:c t="inlineStr" r="BB50">
        <x:is>
          <x:t>PHOTO</x:t>
        </x:is>
      </x:c>
      <x:c t="inlineStr" r="BC50">
        <x:is>
          <x:t>selfie</x:t>
        </x:is>
      </x:c>
      <x:c r="BD50">
        <x:f>HYPERLINK("https://pbs.twimg.com/amplify_video_thumb/2093480743317942272/img/rpwaLuYaIo2HVqQg.jpg")</x:f>
      </x:c>
      <x:c t="inlineStr" r="BE50">
        <x:is>
          <x:t/>
        </x:is>
      </x:c>
      <x:c t="inlineStr" r="BF50">
        <x:is>
          <x:t>Não</x:t>
        </x:is>
      </x:c>
      <x:c t="inlineStr" r="BG50"/>
      <x:c t="inlineStr" r="BH50">
        <x:is>
          <x:t/>
        </x:is>
      </x:c>
      <x:c t="inlineStr" r="BI50">
        <x:is>
          <x:t>Promoção</x:t>
        </x:is>
      </x:c>
      <x:c t="inlineStr" r="BJ50"/>
      <x:c t="inlineStr" r="BK50">
        <x:is>
          <x:t>Ipiranga,Rock In Rio</x:t>
        </x:is>
      </x:c>
      <x:c t="inlineStr" r="BL50"/>
      <x:c t="inlineStr" r="BM50"/>
      <x:c t="inlineStr" r="BN50"/>
      <x:c t="inlineStr" r="BO50"/>
      <x:c t="inlineStr" r="BP50"/>
      <x:c t="inlineStr" r="BQ50"/>
      <x:c t="inlineStr" r="BR50"/>
      <x:c t="inlineStr" r="BS50"/>
      <x:c t="inlineStr" r="BT50"/>
      <x:c t="inlineStr" r="BU50"/>
      <x:c t="inlineStr" r="BV50"/>
      <x:c t="inlineStr" r="BW50"/>
      <x:c t="inlineStr" r="BX50"/>
      <x:c t="inlineStr" r="BY50"/>
      <x:c t="inlineStr" r="BZ50">
        <x:is>
          <x:t>Ipiranga</x:t>
        </x:is>
      </x:c>
      <x:c t="inlineStr" r="CA50"/>
      <x:c t="inlineStr" r="CB50"/>
      <x:c t="inlineStr" r="CC50"/>
      <x:c t="inlineStr" r="CD50"/>
      <x:c t="inlineStr" r="CE50">
        <x:is>
          <x:t>Rock In Rio</x:t>
        </x:is>
      </x:c>
      <x:c t="inlineStr" r="CF50"/>
    </x:row>
    <x:row r="51">
      <x:c t="n" r="A51">
        <x:v>2152262513</x:v>
      </x:c>
      <x:c t="inlineStr" r="B51">
        <x:is>
          <x:t>28.08.2026</x:t>
        </x:is>
      </x:c>
      <x:c t="inlineStr" r="C51">
        <x:is>
          <x:t>20:36</x:t>
        </x:is>
      </x:c>
      <x:c t="inlineStr" r="D51">
        <x:is>
          <x:t>28.08.2026 20:45</x:t>
        </x:is>
      </x:c>
      <x:c t="inlineStr" r="E51">
        <x:is>
          <x:t/>
        </x:is>
      </x:c>
      <x:c t="str" r="F51">
        <x:v>Quer ver o @rockinrio fazer parte dessa história??
Marquem todosss
@ifood24horass @ipiranga @TIMBrasil @KitKatBrasil @CocaCola_Br @doarda @ddlovato @cea_brasil @itau @philco_brasil @brasiltictoc @vwbrasil @cocacola_br @portallovato @demilovatobr @globoplay @multishow
#rockinrio</x:v>
      </x:c>
      <x:c t="inlineStr" r="G51">
        <x:is>
          <x:t/>
        </x:is>
      </x:c>
      <x:c t="inlineStr" r="H51"/>
      <x:c t="inlineStr" r="I51">
        <x:is>
          <x:t>Repost</x:t>
        </x:is>
      </x:c>
      <x:c t="inlineStr" r="J51">
        <x:is>
          <x:t>Vídeo,Texto</x:t>
        </x:is>
      </x:c>
      <x:c t="inlineStr" r="K51"/>
      <x:c r="L51">
        <x:f>HYPERLINK("https://x.com/jefcom1f/status/2093482975962763612")</x:f>
      </x:c>
      <x:c t="inlineStr" r="M51">
        <x:is>
          <x:t>Negativo</x:t>
        </x:is>
      </x:c>
      <x:c t="inlineStr" r="N51">
        <x:is>
          <x:t>jef | dindo do neneco</x:t>
        </x:is>
      </x:c>
      <x:c t="inlineStr" r="O51">
        <x:is>
          <x:t>jefcom1f</x:t>
        </x:is>
      </x:c>
      <x:c r="P51">
        <x:f>HYPERLINK("http://x.com/jefcom1f")</x:f>
      </x:c>
      <x:c t="n" r="Q51">
        <x:v>909</x:v>
      </x:c>
      <x:c t="inlineStr" r="R51">
        <x:is>
          <x:t>Homem</x:t>
        </x:is>
      </x:c>
      <x:c t="inlineStr" r="S51"/>
      <x:c t="inlineStr" r="T51">
        <x:is>
          <x:t>x.com</x:t>
        </x:is>
      </x:c>
      <x:c t="inlineStr" r="U51"/>
      <x:c t="inlineStr" r="V51"/>
      <x:c t="inlineStr" r="W51"/>
      <x:c t="inlineStr" r="X51"/>
      <x:c t="inlineStr" r="Y51">
        <x:is>
          <x:t>Rede social</x:t>
        </x:is>
      </x:c>
      <x:c t="inlineStr" r="Z51">
        <x:is>
          <x:t>Português</x:t>
        </x:is>
      </x:c>
      <x:c t="inlineStr" r="AA51">
        <x:is>
          <x:t>Brasil</x:t>
        </x:is>
      </x:c>
      <x:c t="inlineStr" r="AB51">
        <x:is>
          <x:t>São Paulo</x:t>
        </x:is>
      </x:c>
      <x:c t="inlineStr" r="AC51"/>
      <x:c t="inlineStr" r="AD51"/>
      <x:c t="inlineStr" r="AE51"/>
      <x:c t="n" r="AF51">
        <x:v>0</x:v>
      </x:c>
      <x:c t="inlineStr" r="AG51"/>
      <x:c t="inlineStr" r="AH51"/>
      <x:c t="inlineStr" r="AI51"/>
      <x:c t="inlineStr" r="AJ51"/>
      <x:c t="inlineStr" r="AK51"/>
      <x:c t="inlineStr" r="AL51"/>
      <x:c t="inlineStr" r="AM51"/>
      <x:c t="inlineStr" r="AN51"/>
      <x:c t="inlineStr" r="AO51"/>
      <x:c t="inlineStr" r="AP51"/>
      <x:c t="inlineStr" r="AQ51"/>
      <x:c t="inlineStr" r="AR51"/>
      <x:c t="inlineStr" r="AS51"/>
      <x:c t="inlineStr" r="AT51"/>
      <x:c t="n" r="AU51">
        <x:v>909</x:v>
      </x:c>
      <x:c t="inlineStr" r="AV51"/>
      <x:c t="inlineStr" r="AW51">
        <x:is>
          <x:t/>
        </x:is>
      </x:c>
      <x:c t="inlineStr" r="AX51">
        <x:is>
          <x:t>facial hair,clothing,skin,shirt,tooth,moustache</x:t>
        </x:is>
      </x:c>
      <x:c t="inlineStr" r="AY51">
        <x:is>
          <x:t/>
        </x:is>
      </x:c>
      <x:c t="inlineStr" r="AZ51">
        <x:is>
          <x:t>man</x:t>
        </x:is>
      </x:c>
      <x:c t="inlineStr" r="BA51">
        <x:is>
          <x:t/>
        </x:is>
      </x:c>
      <x:c t="inlineStr" r="BB51">
        <x:is>
          <x:t>PHOTO</x:t>
        </x:is>
      </x:c>
      <x:c t="inlineStr" r="BC51">
        <x:is>
          <x:t>selfie</x:t>
        </x:is>
      </x:c>
      <x:c r="BD51">
        <x:f>HYPERLINK("https://pbs.twimg.com/amplify_video_thumb/2093480743317942272/img/rpwaLuYaIo2HVqQg.jpg")</x:f>
      </x:c>
      <x:c t="inlineStr" r="BE51">
        <x:is>
          <x:t/>
        </x:is>
      </x:c>
      <x:c t="inlineStr" r="BF51">
        <x:is>
          <x:t>Não</x:t>
        </x:is>
      </x:c>
      <x:c t="inlineStr" r="BG51"/>
      <x:c t="inlineStr" r="BH51">
        <x:is>
          <x:t/>
        </x:is>
      </x:c>
      <x:c t="inlineStr" r="BI51">
        <x:is>
          <x:t>Promoção</x:t>
        </x:is>
      </x:c>
      <x:c t="inlineStr" r="BJ51"/>
      <x:c t="inlineStr" r="BK51">
        <x:is>
          <x:t>Ipiranga,Rock In Rio</x:t>
        </x:is>
      </x:c>
      <x:c t="inlineStr" r="BL51"/>
      <x:c t="inlineStr" r="BM51"/>
      <x:c t="inlineStr" r="BN51"/>
      <x:c t="inlineStr" r="BO51"/>
      <x:c t="inlineStr" r="BP51"/>
      <x:c t="inlineStr" r="BQ51"/>
      <x:c t="inlineStr" r="BR51"/>
      <x:c t="inlineStr" r="BS51"/>
      <x:c t="inlineStr" r="BT51"/>
      <x:c t="inlineStr" r="BU51"/>
      <x:c t="inlineStr" r="BV51"/>
      <x:c t="inlineStr" r="BW51"/>
      <x:c t="inlineStr" r="BX51"/>
      <x:c t="inlineStr" r="BY51"/>
      <x:c t="inlineStr" r="BZ51">
        <x:is>
          <x:t>Ipiranga</x:t>
        </x:is>
      </x:c>
      <x:c t="inlineStr" r="CA51"/>
      <x:c t="inlineStr" r="CB51"/>
      <x:c t="inlineStr" r="CC51"/>
      <x:c t="inlineStr" r="CD51"/>
      <x:c t="inlineStr" r="CE51">
        <x:is>
          <x:t>Rock In Rio</x:t>
        </x:is>
      </x:c>
      <x:c t="inlineStr" r="CF51"/>
    </x:row>
    <x:row r="52">
      <x:c t="n" r="A52">
        <x:v>1419836119</x:v>
      </x:c>
      <x:c t="inlineStr" r="B52">
        <x:is>
          <x:t>28.08.2026</x:t>
        </x:is>
      </x:c>
      <x:c t="inlineStr" r="C52">
        <x:is>
          <x:t>20:28</x:t>
        </x:is>
      </x:c>
      <x:c t="inlineStr" r="D52">
        <x:is>
          <x:t>28.08.2026 20:31</x:t>
        </x:is>
      </x:c>
      <x:c t="inlineStr" r="E52">
        <x:is>
          <x:t/>
        </x:is>
      </x:c>
      <x:c t="str" r="F52">
        <x:v>Quer ver o @rockinrio fazer parte dessa história??
Marquem todosss
@ifood24horass @ipiranga @TIMBrasil @KitKatBrasil @CocaCola_Br @doarda @ddlovato @cea_brasil @itau @philco_brasil @brasiltictoc @vwbrasil @cocacola_br @portallovato @demilovatobr @globoplay @multishow
#rockinrio</x:v>
      </x:c>
      <x:c t="inlineStr" r="G52">
        <x:is>
          <x:t/>
        </x:is>
      </x:c>
      <x:c t="inlineStr" r="H52"/>
      <x:c t="inlineStr" r="I52">
        <x:is>
          <x:t>Postar</x:t>
        </x:is>
      </x:c>
      <x:c t="inlineStr" r="J52">
        <x:is>
          <x:t>Vídeo,Texto</x:t>
        </x:is>
      </x:c>
      <x:c t="inlineStr" r="K52"/>
      <x:c r="L52">
        <x:f>HYPERLINK("https://x.com/demuxuxa/status/2093480804756128201")</x:f>
      </x:c>
      <x:c t="inlineStr" r="M52">
        <x:is>
          <x:t>Negativo</x:t>
        </x:is>
      </x:c>
      <x:c t="inlineStr" r="N52">
        <x:is>
          <x:t>demuxa</x:t>
        </x:is>
      </x:c>
      <x:c t="inlineStr" r="O52">
        <x:is>
          <x:t>demuxuxa</x:t>
        </x:is>
      </x:c>
      <x:c r="P52">
        <x:f>HYPERLINK("http://x.com/demuxuxa")</x:f>
      </x:c>
      <x:c t="n" r="Q52">
        <x:v>62</x:v>
      </x:c>
      <x:c t="inlineStr" r="R52"/>
      <x:c t="inlineStr" r="S52"/>
      <x:c t="inlineStr" r="T52">
        <x:is>
          <x:t>x.com</x:t>
        </x:is>
      </x:c>
      <x:c t="inlineStr" r="U52"/>
      <x:c t="inlineStr" r="V52"/>
      <x:c t="inlineStr" r="W52"/>
      <x:c t="inlineStr" r="X52"/>
      <x:c t="inlineStr" r="Y52">
        <x:is>
          <x:t>Rede social</x:t>
        </x:is>
      </x:c>
      <x:c t="inlineStr" r="Z52">
        <x:is>
          <x:t>Português</x:t>
        </x:is>
      </x:c>
      <x:c t="inlineStr" r="AA52">
        <x:is>
          <x:t>Brasil</x:t>
        </x:is>
      </x:c>
      <x:c t="inlineStr" r="AB52">
        <x:is>
          <x:t>São Paulo</x:t>
        </x:is>
      </x:c>
      <x:c t="inlineStr" r="AC52"/>
      <x:c t="inlineStr" r="AD52"/>
      <x:c t="n" r="AE52">
        <x:v>0</x:v>
      </x:c>
      <x:c t="n" r="AF52">
        <x:v>0</x:v>
      </x:c>
      <x:c t="n" r="AG52">
        <x:v>0</x:v>
      </x:c>
      <x:c t="inlineStr" r="AH52"/>
      <x:c t="inlineStr" r="AI52"/>
      <x:c t="inlineStr" r="AJ52"/>
      <x:c t="inlineStr" r="AK52"/>
      <x:c t="inlineStr" r="AL52"/>
      <x:c t="inlineStr" r="AM52"/>
      <x:c t="inlineStr" r="AN52"/>
      <x:c t="n" r="AO52">
        <x:v>0</x:v>
      </x:c>
      <x:c t="n" r="AP52">
        <x:v>0</x:v>
      </x:c>
      <x:c t="n" r="AQ52">
        <x:v>0</x:v>
      </x:c>
      <x:c t="inlineStr" r="AR52"/>
      <x:c t="inlineStr" r="AS52"/>
      <x:c t="inlineStr" r="AT52"/>
      <x:c t="n" r="AU52">
        <x:v>62</x:v>
      </x:c>
      <x:c t="inlineStr" r="AV52"/>
      <x:c t="inlineStr" r="AW52">
        <x:is>
          <x:t/>
        </x:is>
      </x:c>
      <x:c t="inlineStr" r="AX52">
        <x:is>
          <x:t>facial hair,clothing,skin,shirt,tooth,moustache</x:t>
        </x:is>
      </x:c>
      <x:c t="inlineStr" r="AY52">
        <x:is>
          <x:t/>
        </x:is>
      </x:c>
      <x:c t="inlineStr" r="AZ52">
        <x:is>
          <x:t>man</x:t>
        </x:is>
      </x:c>
      <x:c t="inlineStr" r="BA52">
        <x:is>
          <x:t/>
        </x:is>
      </x:c>
      <x:c t="inlineStr" r="BB52">
        <x:is>
          <x:t>PHOTO</x:t>
        </x:is>
      </x:c>
      <x:c t="inlineStr" r="BC52">
        <x:is>
          <x:t>selfie</x:t>
        </x:is>
      </x:c>
      <x:c r="BD52">
        <x:f>HYPERLINK("https://pbs.twimg.com/amplify_video_thumb/2093480743317942272/img/rpwaLuYaIo2HVqQg.jpg")</x:f>
      </x:c>
      <x:c t="inlineStr" r="BE52">
        <x:is>
          <x:t/>
        </x:is>
      </x:c>
      <x:c t="inlineStr" r="BF52">
        <x:is>
          <x:t>Não</x:t>
        </x:is>
      </x:c>
      <x:c t="inlineStr" r="BG52"/>
      <x:c t="inlineStr" r="BH52">
        <x:is>
          <x:t/>
        </x:is>
      </x:c>
      <x:c t="inlineStr" r="BI52">
        <x:is>
          <x:t>Promoção</x:t>
        </x:is>
      </x:c>
      <x:c t="inlineStr" r="BJ52"/>
      <x:c t="inlineStr" r="BK52">
        <x:is>
          <x:t>Ipiranga,Rock In Rio</x:t>
        </x:is>
      </x:c>
      <x:c t="inlineStr" r="BL52"/>
      <x:c t="inlineStr" r="BM52"/>
      <x:c t="inlineStr" r="BN52"/>
      <x:c t="inlineStr" r="BO52"/>
      <x:c t="inlineStr" r="BP52"/>
      <x:c t="inlineStr" r="BQ52"/>
      <x:c t="inlineStr" r="BR52"/>
      <x:c t="inlineStr" r="BS52"/>
      <x:c t="inlineStr" r="BT52"/>
      <x:c t="inlineStr" r="BU52"/>
      <x:c t="inlineStr" r="BV52"/>
      <x:c t="inlineStr" r="BW52"/>
      <x:c t="inlineStr" r="BX52"/>
      <x:c t="inlineStr" r="BY52"/>
      <x:c t="inlineStr" r="BZ52">
        <x:is>
          <x:t>Ipiranga</x:t>
        </x:is>
      </x:c>
      <x:c t="inlineStr" r="CA52"/>
      <x:c t="inlineStr" r="CB52"/>
      <x:c t="inlineStr" r="CC52"/>
      <x:c t="inlineStr" r="CD52"/>
      <x:c t="inlineStr" r="CE52">
        <x:is>
          <x:t>Rock In Rio</x:t>
        </x:is>
      </x:c>
      <x:c t="inlineStr" r="CF52"/>
    </x:row>
    <x:row r="53">
      <x:c t="n" r="A53">
        <x:v>912721093</x:v>
      </x:c>
      <x:c t="inlineStr" r="B53">
        <x:is>
          <x:t>28.08.2026</x:t>
        </x:is>
      </x:c>
      <x:c t="inlineStr" r="C53">
        <x:is>
          <x:t>18:59</x:t>
        </x:is>
      </x:c>
      <x:c t="inlineStr" r="D53">
        <x:is>
          <x:t>28.08.2026 22:02</x:t>
        </x:is>
      </x:c>
      <x:c t="inlineStr" r="E53">
        <x:is>
          <x:t/>
        </x:is>
      </x:c>
      <x:c t="str" r="F53">
        <x:v>O palco no Rock in Rio Brasil 2026 é dela. O ingresso pode ser seu. 
🎟️ Resgate seu ingresso de gramado pelo app KMV usando pontos + dinheiro e ainda ganhe
R$ 100 em vale-combustível.
Depois é só fazer uma Parada Completa no Ipiranga e partir pro festival. 🚗⛽️
#Ipiranga #KMV #RockinRio2026</x:v>
      </x:c>
      <x:c t="inlineStr" r="G53">
        <x:is>
          <x:t/>
        </x:is>
      </x:c>
      <x:c t="inlineStr" r="H53"/>
      <x:c t="inlineStr" r="I53">
        <x:is>
          <x:t>Repost</x:t>
        </x:is>
      </x:c>
      <x:c t="inlineStr" r="J53">
        <x:is>
          <x:t>Imagem,Texto</x:t>
        </x:is>
      </x:c>
      <x:c t="inlineStr" r="K53"/>
      <x:c r="L53">
        <x:f>HYPERLINK("https://x.com/kyara1520/status/2093458461019230687")</x:f>
      </x:c>
      <x:c t="inlineStr" r="M53">
        <x:is>
          <x:t>Negativo</x:t>
        </x:is>
      </x:c>
      <x:c t="inlineStr" r="N53">
        <x:is>
          <x:t>Leticia Marques</x:t>
        </x:is>
      </x:c>
      <x:c t="inlineStr" r="O53">
        <x:is>
          <x:t>kyara1520</x:t>
        </x:is>
      </x:c>
      <x:c r="P53">
        <x:f>HYPERLINK("http://x.com/kyara1520")</x:f>
      </x:c>
      <x:c t="n" r="Q53">
        <x:v>18</x:v>
      </x:c>
      <x:c t="inlineStr" r="R53">
        <x:is>
          <x:t>Mulher</x:t>
        </x:is>
      </x:c>
      <x:c t="inlineStr" r="S53"/>
      <x:c t="inlineStr" r="T53">
        <x:is>
          <x:t>x.com</x:t>
        </x:is>
      </x:c>
      <x:c t="inlineStr" r="U53"/>
      <x:c t="inlineStr" r="V53"/>
      <x:c t="inlineStr" r="W53"/>
      <x:c t="inlineStr" r="X53"/>
      <x:c t="inlineStr" r="Y53">
        <x:is>
          <x:t>Rede social</x:t>
        </x:is>
      </x:c>
      <x:c t="inlineStr" r="Z53">
        <x:is>
          <x:t>Português</x:t>
        </x:is>
      </x:c>
      <x:c t="inlineStr" r="AA53">
        <x:is>
          <x:t>Brasil</x:t>
        </x:is>
      </x:c>
      <x:c t="inlineStr" r="AB53"/>
      <x:c t="inlineStr" r="AC53"/>
      <x:c t="inlineStr" r="AD53"/>
      <x:c t="inlineStr" r="AE53"/>
      <x:c t="n" r="AF53">
        <x:v>0</x:v>
      </x:c>
      <x:c t="inlineStr" r="AG53"/>
      <x:c t="inlineStr" r="AH53"/>
      <x:c t="inlineStr" r="AI53"/>
      <x:c t="inlineStr" r="AJ53"/>
      <x:c t="inlineStr" r="AK53"/>
      <x:c t="inlineStr" r="AL53"/>
      <x:c t="inlineStr" r="AM53"/>
      <x:c t="inlineStr" r="AN53"/>
      <x:c t="inlineStr" r="AO53"/>
      <x:c t="inlineStr" r="AP53"/>
      <x:c t="inlineStr" r="AQ53"/>
      <x:c t="inlineStr" r="AR53"/>
      <x:c t="inlineStr" r="AS53"/>
      <x:c t="inlineStr" r="AT53"/>
      <x:c t="n" r="AU53">
        <x:v>18</x:v>
      </x:c>
      <x:c t="inlineStr" r="AV53"/>
      <x:c t="inlineStr" r="AW53">
        <x:is>
          <x:t>Ipiranga</x:t>
        </x:is>
      </x:c>
      <x:c t="inlineStr" r="AX53">
        <x:is>
          <x:t>text,poster</x:t>
        </x:is>
      </x:c>
      <x:c t="inlineStr" r="AY53">
        <x:is>
          <x:t/>
        </x:is>
      </x:c>
      <x:c t="inlineStr" r="AZ53">
        <x:is>
          <x:t/>
        </x:is>
      </x:c>
      <x:c t="inlineStr" r="BA53">
        <x:is>
          <x:t/>
        </x:is>
      </x:c>
      <x:c t="inlineStr" r="BB53">
        <x:is>
          <x:t>ILLUSTRATION</x:t>
        </x:is>
      </x:c>
      <x:c t="inlineStr" r="BC53">
        <x:is>
          <x:t>advertising</x:t>
        </x:is>
      </x:c>
      <x:c r="BD53">
        <x:f>HYPERLINK("https://pbs.twimg.com/media/HQ1adAlWcAAQTeF.jpg")</x:f>
      </x:c>
      <x:c t="inlineStr" r="BE53">
        <x:is>
          <x:t/>
        </x:is>
      </x:c>
      <x:c t="inlineStr" r="BF53">
        <x:is>
          <x:t>Não</x:t>
        </x:is>
      </x:c>
      <x:c t="inlineStr" r="BG53"/>
      <x:c t="inlineStr" r="BH53">
        <x:is>
          <x:t/>
        </x:is>
      </x:c>
      <x:c t="inlineStr" r="BI53">
        <x:is>
          <x:t>Giveaway</x:t>
        </x:is>
      </x:c>
      <x:c t="inlineStr" r="BJ53">
        <x:is>
          <x:t>Ao resgatar seus ingressos de gramado pelo app KMV, você ainda ganha R$ 100 em vale-combustível</x:t>
        </x:is>
      </x:c>
      <x:c t="inlineStr" r="BK53">
        <x:is>
          <x:t>Campanha: Parada Completa,Ipiranga,App KMV,Rock In Rio</x:t>
        </x:is>
      </x:c>
      <x:c t="inlineStr" r="BL53"/>
      <x:c t="inlineStr" r="BM53"/>
      <x:c t="inlineStr" r="BN53"/>
      <x:c t="inlineStr" r="BO53"/>
      <x:c t="inlineStr" r="BP53"/>
      <x:c t="inlineStr" r="BQ53"/>
      <x:c t="inlineStr" r="BR53"/>
      <x:c t="inlineStr" r="BS53"/>
      <x:c t="inlineStr" r="BT53"/>
      <x:c t="inlineStr" r="BU53"/>
      <x:c t="inlineStr" r="BV53"/>
      <x:c t="inlineStr" r="BW53"/>
      <x:c t="inlineStr" r="BX53"/>
      <x:c t="inlineStr" r="BY53">
        <x:is>
          <x:t>Campanha: Parada Completa</x:t>
        </x:is>
      </x:c>
      <x:c t="inlineStr" r="BZ53">
        <x:is>
          <x:t>Ipiranga</x:t>
        </x:is>
      </x:c>
      <x:c t="inlineStr" r="CA53"/>
      <x:c t="inlineStr" r="CB53"/>
      <x:c t="inlineStr" r="CC53"/>
      <x:c t="inlineStr" r="CD53">
        <x:is>
          <x:t>App KMV</x:t>
        </x:is>
      </x:c>
      <x:c t="inlineStr" r="CE53">
        <x:is>
          <x:t>Rock In Rio</x:t>
        </x:is>
      </x:c>
      <x:c t="inlineStr" r="CF53"/>
    </x:row>
    <x:row r="54">
      <x:c t="n" r="A54">
        <x:v>523953949</x:v>
      </x:c>
      <x:c t="inlineStr" r="B54">
        <x:is>
          <x:t>28.08.2026</x:t>
        </x:is>
      </x:c>
      <x:c t="inlineStr" r="C54">
        <x:is>
          <x:t>18:29</x:t>
        </x:is>
      </x:c>
      <x:c t="inlineStr" r="D54">
        <x:is>
          <x:t>28.08.2026 18:32</x:t>
        </x:is>
      </x:c>
      <x:c t="inlineStr" r="E54">
        <x:is>
          <x:t/>
        </x:is>
      </x:c>
      <x:c t="str" r="F54">
        <x:v>🎟️ Resgate seu ingresso de gramado pelo app KMV usando pontos + dinheiro e ainda ganhe R$ 100 em vale-combustível.
Depois é só fazer uma Parada Completa no Ipiranga e partir pro festival. ⛽🚗
#Ipiranga #KMV #RockinRio2026
Resgate aqui: https://www.ipiranga.com.br/wps/portal/pt-br/ipiranga/a-ipiranga/campanhas-e-acoes/promocoes-e-ofertas/rock-in-rio?utm_source=social&amp;utm_medium=organico&amp;utm_campaign=kmv&amp;utm_term=fandom&amp;utm_content=DTI</x:v>
      </x:c>
      <x:c t="inlineStr" r="G54">
        <x:is>
          <x:t/>
        </x:is>
      </x:c>
      <x:c t="inlineStr" r="H54"/>
      <x:c t="inlineStr" r="I54">
        <x:is>
          <x:t>Postar</x:t>
        </x:is>
      </x:c>
      <x:c t="inlineStr" r="J54">
        <x:is>
          <x:t>Link,Imagem,Texto</x:t>
        </x:is>
      </x:c>
      <x:c t="inlineStr" r="K54"/>
      <x:c r="L54">
        <x:f>HYPERLINK("https://x.com/A7xFVOficial/status/2093450859547943178")</x:f>
      </x:c>
      <x:c t="inlineStr" r="M54">
        <x:is>
          <x:t>Negativo</x:t>
        </x:is>
      </x:c>
      <x:c t="inlineStr" r="N54">
        <x:is>
          <x:t>A7x Frases &amp; Versos 🇧🇷</x:t>
        </x:is>
      </x:c>
      <x:c t="inlineStr" r="O54">
        <x:is>
          <x:t>A7xFVOficial</x:t>
        </x:is>
      </x:c>
      <x:c r="P54">
        <x:f>HYPERLINK("http://x.com/A7xFVOficial")</x:f>
      </x:c>
      <x:c t="n" r="Q54">
        <x:v>4203</x:v>
      </x:c>
      <x:c t="inlineStr" r="R54"/>
      <x:c t="inlineStr" r="S54"/>
      <x:c t="inlineStr" r="T54">
        <x:is>
          <x:t>x.com</x:t>
        </x:is>
      </x:c>
      <x:c t="inlineStr" r="U54"/>
      <x:c t="inlineStr" r="V54"/>
      <x:c t="inlineStr" r="W54"/>
      <x:c t="inlineStr" r="X54"/>
      <x:c t="inlineStr" r="Y54">
        <x:is>
          <x:t>Rede social</x:t>
        </x:is>
      </x:c>
      <x:c t="inlineStr" r="Z54">
        <x:is>
          <x:t>Português</x:t>
        </x:is>
      </x:c>
      <x:c t="inlineStr" r="AA54">
        <x:is>
          <x:t>Brasil</x:t>
        </x:is>
      </x:c>
      <x:c t="inlineStr" r="AB54"/>
      <x:c t="inlineStr" r="AC54"/>
      <x:c t="inlineStr" r="AD54"/>
      <x:c t="n" r="AE54">
        <x:v>2</x:v>
      </x:c>
      <x:c t="n" r="AF54">
        <x:v>2</x:v>
      </x:c>
      <x:c t="n" r="AG54">
        <x:v>2</x:v>
      </x:c>
      <x:c t="inlineStr" r="AH54"/>
      <x:c t="inlineStr" r="AI54"/>
      <x:c t="inlineStr" r="AJ54"/>
      <x:c t="inlineStr" r="AK54"/>
      <x:c t="inlineStr" r="AL54"/>
      <x:c t="inlineStr" r="AM54"/>
      <x:c t="inlineStr" r="AN54"/>
      <x:c t="n" r="AO54">
        <x:v>0</x:v>
      </x:c>
      <x:c t="n" r="AP54">
        <x:v>0</x:v>
      </x:c>
      <x:c t="n" r="AQ54">
        <x:v>325</x:v>
      </x:c>
      <x:c t="inlineStr" r="AR54"/>
      <x:c t="inlineStr" r="AS54"/>
      <x:c t="inlineStr" r="AT54"/>
      <x:c t="n" r="AU54">
        <x:v>4203</x:v>
      </x:c>
      <x:c t="inlineStr" r="AV54"/>
      <x:c t="inlineStr" r="AW54">
        <x:is>
          <x:t/>
        </x:is>
      </x:c>
      <x:c t="inlineStr" r="AX54">
        <x:is>
          <x:t>text,poster</x:t>
        </x:is>
      </x:c>
      <x:c t="inlineStr" r="AY54">
        <x:is>
          <x:t/>
        </x:is>
      </x:c>
      <x:c t="inlineStr" r="AZ54">
        <x:is>
          <x:t/>
        </x:is>
      </x:c>
      <x:c t="inlineStr" r="BA54">
        <x:is>
          <x:t/>
        </x:is>
      </x:c>
      <x:c t="inlineStr" r="BB54">
        <x:is>
          <x:t>ILLUSTRATION</x:t>
        </x:is>
      </x:c>
      <x:c t="inlineStr" r="BC54">
        <x:is>
          <x:t>advertising</x:t>
        </x:is>
      </x:c>
      <x:c r="BD54">
        <x:f>HYPERLINK("https://pbs.twimg.com/media/HQ1udTOXQAAfftc.jpg")</x:f>
      </x:c>
      <x:c t="inlineStr" r="BE54">
        <x:is>
          <x:t/>
        </x:is>
      </x:c>
      <x:c t="inlineStr" r="BF54">
        <x:is>
          <x:t>Não</x:t>
        </x:is>
      </x:c>
      <x:c t="inlineStr" r="BG54"/>
      <x:c t="inlineStr" r="BH54">
        <x:is>
          <x:t/>
        </x:is>
      </x:c>
      <x:c t="inlineStr" r="BI54">
        <x:is>
          <x:t>Giveaway</x:t>
        </x:is>
      </x:c>
      <x:c t="inlineStr" r="BJ54"/>
      <x:c t="inlineStr" r="BK54">
        <x:is>
          <x:t>Campanha: Parada Completa,Ipiranga,App KMV,Rock In Rio</x:t>
        </x:is>
      </x:c>
      <x:c t="inlineStr" r="BL54"/>
      <x:c t="inlineStr" r="BM54"/>
      <x:c t="inlineStr" r="BN54"/>
      <x:c t="inlineStr" r="BO54"/>
      <x:c t="inlineStr" r="BP54"/>
      <x:c t="inlineStr" r="BQ54"/>
      <x:c t="inlineStr" r="BR54"/>
      <x:c t="inlineStr" r="BS54"/>
      <x:c t="inlineStr" r="BT54"/>
      <x:c t="inlineStr" r="BU54"/>
      <x:c t="inlineStr" r="BV54"/>
      <x:c t="inlineStr" r="BW54"/>
      <x:c t="inlineStr" r="BX54"/>
      <x:c t="inlineStr" r="BY54">
        <x:is>
          <x:t>Campanha: Parada Completa</x:t>
        </x:is>
      </x:c>
      <x:c t="inlineStr" r="BZ54">
        <x:is>
          <x:t>Ipiranga</x:t>
        </x:is>
      </x:c>
      <x:c t="inlineStr" r="CA54"/>
      <x:c t="inlineStr" r="CB54"/>
      <x:c t="inlineStr" r="CC54"/>
      <x:c t="inlineStr" r="CD54">
        <x:is>
          <x:t>App KMV</x:t>
        </x:is>
      </x:c>
      <x:c t="inlineStr" r="CE54">
        <x:is>
          <x:t>Rock In Rio</x:t>
        </x:is>
      </x:c>
      <x:c t="inlineStr" r="CF54"/>
    </x:row>
    <x:row r="55">
      <x:c t="n" r="A55">
        <x:v>3506309384</x:v>
      </x:c>
      <x:c t="inlineStr" r="B55">
        <x:is>
          <x:t>28.08.2026</x:t>
        </x:is>
      </x:c>
      <x:c t="inlineStr" r="C55">
        <x:is>
          <x:t>18:26</x:t>
        </x:is>
      </x:c>
      <x:c t="inlineStr" r="D55">
        <x:is>
          <x:t>29.08.2026 15:22</x:t>
        </x:is>
      </x:c>
      <x:c t="inlineStr" r="E55">
        <x:is>
          <x:t/>
        </x:is>
      </x:c>
      <x:c t="str" r="F55">
        <x:v>Os ingressos de gramado para já estão disponíveis no app KMV. Resgate o seu usando pontos + dinheiro e ainda ganhe R$ 100 em vale-combustível.
Depois, é só fazer uma Parada Completa no Posto Ipiranga: abastecer com Ipimax, passar na AmPm ou no Jet Oil e seguir rumo ao Rock in Rio. 🤘⛽ 
#Ipiranga #KMV #RockinRio2026</x:v>
      </x:c>
      <x:c t="inlineStr" r="G55">
        <x:is>
          <x:t/>
        </x:is>
      </x:c>
      <x:c t="inlineStr" r="H55"/>
      <x:c t="inlineStr" r="I55">
        <x:is>
          <x:t>Postar</x:t>
        </x:is>
      </x:c>
      <x:c t="inlineStr" r="J55">
        <x:is>
          <x:t>Texto,Imagem</x:t>
        </x:is>
      </x:c>
      <x:c t="inlineStr" r="K55"/>
      <x:c r="L55">
        <x:f>HYPERLINK("https://www.facebook.com/1638068104345998")</x:f>
      </x:c>
      <x:c t="inlineStr" r="M55">
        <x:is>
          <x:t>Negativo</x:t>
        </x:is>
      </x:c>
      <x:c t="inlineStr" r="N55">
        <x:is>
          <x:t>A7x Frases &amp; Versos</x:t>
        </x:is>
      </x:c>
      <x:c t="inlineStr" r="O55"/>
      <x:c r="P55">
        <x:f>HYPERLINK("https://www.facebook.com/313804922129399")</x:f>
      </x:c>
      <x:c t="n" r="Q55">
        <x:v>148945</x:v>
      </x:c>
      <x:c t="inlineStr" r="R55">
        <x:is>
          <x:t>Comunidade</x:t>
        </x:is>
      </x:c>
      <x:c t="inlineStr" r="S55"/>
      <x:c t="inlineStr" r="T55">
        <x:is>
          <x:t>facebook.com</x:t>
        </x:is>
      </x:c>
      <x:c t="inlineStr" r="U55">
        <x:is>
          <x:t>A7x Frases &amp; Versos</x:t>
        </x:is>
      </x:c>
      <x:c r="V55">
        <x:f>HYPERLINK("https://www.facebook.com/313804922129399")</x:f>
      </x:c>
      <x:c t="n" r="W55">
        <x:v>148945</x:v>
      </x:c>
      <x:c t="inlineStr" r="X55"/>
      <x:c t="inlineStr" r="Y55">
        <x:is>
          <x:t>Rede social</x:t>
        </x:is>
      </x:c>
      <x:c t="inlineStr" r="Z55">
        <x:is>
          <x:t>Português</x:t>
        </x:is>
      </x:c>
      <x:c t="inlineStr" r="AA55"/>
      <x:c t="inlineStr" r="AB55"/>
      <x:c t="inlineStr" r="AC55"/>
      <x:c t="inlineStr" r="AD55"/>
      <x:c t="n" r="AE55">
        <x:v>3</x:v>
      </x:c>
      <x:c t="n" r="AF55">
        <x:v>3</x:v>
      </x:c>
      <x:c t="n" r="AG55">
        <x:v>3</x:v>
      </x:c>
      <x:c t="inlineStr" r="AH55"/>
      <x:c t="inlineStr" r="AI55"/>
      <x:c t="inlineStr" r="AJ55"/>
      <x:c t="inlineStr" r="AK55"/>
      <x:c t="inlineStr" r="AL55"/>
      <x:c t="inlineStr" r="AM55"/>
      <x:c t="inlineStr" r="AN55"/>
      <x:c t="n" r="AO55">
        <x:v>0</x:v>
      </x:c>
      <x:c t="inlineStr" r="AP55"/>
      <x:c t="inlineStr" r="AQ55"/>
      <x:c t="inlineStr" r="AR55"/>
      <x:c t="inlineStr" r="AS55"/>
      <x:c t="inlineStr" r="AT55"/>
      <x:c t="n" r="AU55">
        <x:v>148945</x:v>
      </x:c>
      <x:c t="inlineStr" r="AV55"/>
      <x:c t="inlineStr" r="AW55">
        <x:is>
          <x:t>Ipiranga</x:t>
        </x:is>
      </x:c>
      <x:c t="inlineStr" r="AX55">
        <x:is>
          <x:t>text,poster</x:t>
        </x:is>
      </x:c>
      <x:c t="inlineStr" r="AY55">
        <x:is>
          <x:t/>
        </x:is>
      </x:c>
      <x:c t="inlineStr" r="AZ55">
        <x:is>
          <x:t/>
        </x:is>
      </x:c>
      <x:c t="inlineStr" r="BA55">
        <x:is>
          <x:t/>
        </x:is>
      </x:c>
      <x:c t="inlineStr" r="BB55">
        <x:is>
          <x:t>ILLUSTRATION</x:t>
        </x:is>
      </x:c>
      <x:c t="inlineStr" r="BC55">
        <x:is>
          <x:t>advertising</x:t>
        </x:is>
      </x:c>
      <x:c t="inlineStr" r="BD55">
        <x:is>
          <x:t>https://scontent.fsal1-1.fna.fbcdn.net/v/t39.99422-6/786769099_958626863965680_2360474102260935868_n.png?stp=dst-jpg_tt6&amp;cstp=mx1350x1687&amp;ctp=s1080x2048&amp;_nc_cat=101&amp;ccb=1-7&amp;_nc_sid=127cfc&amp;_nc_ohc=tFBspkdQMl4Q7kNvwEu6N3f&amp;_nc_oc=Adr4J6BsoC6CGBwBy8VveXktcQ3wsLyHdCM_b3-zFKpx0ger5lH2sL_MSNctoTWSMzQ&amp;_nc_zt=14&amp;_nc_ht=scontent.fsal1-1.fna&amp;_nc_gid=Nlgx_clyebcfEkBmiuWwJg&amp;_nc_ss=70100&amp;oh=00_AQJ673m_4Msx2MgOHTlyCovLmbVL979_mSTiS-zbnEs08A&amp;oe=6A98E4FA</x:t>
        </x:is>
      </x:c>
      <x:c t="inlineStr" r="BE55">
        <x:is>
          <x:t/>
        </x:is>
      </x:c>
      <x:c t="inlineStr" r="BF55">
        <x:is>
          <x:t>Não</x:t>
        </x:is>
      </x:c>
      <x:c t="inlineStr" r="BG55"/>
      <x:c t="inlineStr" r="BH55">
        <x:is>
          <x:t/>
        </x:is>
      </x:c>
      <x:c t="inlineStr" r="BI55">
        <x:is>
          <x:t>Promoção</x:t>
        </x:is>
      </x:c>
      <x:c t="inlineStr" r="BJ55"/>
      <x:c t="inlineStr" r="BK55">
        <x:is>
          <x:t>Franquia - Jet Oil,Franquia - AmPm,Ipimax,Campanha: Parada Completa,Ipiranga,App KMV,Rock In Rio</x:t>
        </x:is>
      </x:c>
      <x:c t="inlineStr" r="BL55"/>
      <x:c t="inlineStr" r="BM55"/>
      <x:c t="inlineStr" r="BN55"/>
      <x:c t="inlineStr" r="BO55"/>
      <x:c t="inlineStr" r="BP55"/>
      <x:c t="inlineStr" r="BQ55"/>
      <x:c t="inlineStr" r="BR55"/>
      <x:c t="inlineStr" r="BS55"/>
      <x:c t="inlineStr" r="BT55"/>
      <x:c t="inlineStr" r="BU55"/>
      <x:c t="inlineStr" r="BV55">
        <x:is>
          <x:t>Franquia - AmPm</x:t>
        </x:is>
      </x:c>
      <x:c t="inlineStr" r="BW55">
        <x:is>
          <x:t>Ipimax</x:t>
        </x:is>
      </x:c>
      <x:c t="inlineStr" r="BX55">
        <x:is>
          <x:t>Franquia - Jet Oil</x:t>
        </x:is>
      </x:c>
      <x:c t="inlineStr" r="BY55">
        <x:is>
          <x:t>Campanha: Parada Completa</x:t>
        </x:is>
      </x:c>
      <x:c t="inlineStr" r="BZ55">
        <x:is>
          <x:t>Ipiranga</x:t>
        </x:is>
      </x:c>
      <x:c t="inlineStr" r="CA55"/>
      <x:c t="inlineStr" r="CB55"/>
      <x:c t="inlineStr" r="CC55"/>
      <x:c t="inlineStr" r="CD55">
        <x:is>
          <x:t>App KMV</x:t>
        </x:is>
      </x:c>
      <x:c t="inlineStr" r="CE55">
        <x:is>
          <x:t>Rock In Rio</x:t>
        </x:is>
      </x:c>
      <x:c t="inlineStr" r="CF55"/>
    </x:row>
    <x:row r="56">
      <x:c t="n" r="A56">
        <x:v>3905509211</x:v>
      </x:c>
      <x:c t="inlineStr" r="B56">
        <x:is>
          <x:t>28.08.2026</x:t>
        </x:is>
      </x:c>
      <x:c t="inlineStr" r="C56">
        <x:is>
          <x:t>18:26</x:t>
        </x:is>
      </x:c>
      <x:c t="inlineStr" r="D56">
        <x:is>
          <x:t>28.08.2026 21:01</x:t>
        </x:is>
      </x:c>
      <x:c t="inlineStr" r="E56">
        <x:is>
          <x:t/>
        </x:is>
      </x:c>
      <x:c t="str" r="F56">
        <x:v>Os ingressos de gramado para já estão disponíveis no app KMV. Resgate o seu usando pontos + dinheiro e ainda ganhe R$ 100 em vale-combustível.
Depois, é só fazer uma Parada Completa no Posto Ipiranga: abastecer com Ipimax, passar na AmPm ou no Jet Oil e seguir rumo ao Rock in Rio. 🤘⛽ 
#Ipiranga #KMV #RockinRio2026</x:v>
      </x:c>
      <x:c t="inlineStr" r="G56">
        <x:is>
          <x:t/>
        </x:is>
      </x:c>
      <x:c t="inlineStr" r="H56"/>
      <x:c t="inlineStr" r="I56">
        <x:is>
          <x:t>Postar</x:t>
        </x:is>
      </x:c>
      <x:c t="inlineStr" r="J56">
        <x:is>
          <x:t>Texto,Imagem</x:t>
        </x:is>
      </x:c>
      <x:c t="inlineStr" r="K56"/>
      <x:c r="L56">
        <x:f>HYPERLINK("https://www.instagram.com/p/DcmUw-Xt161/")</x:f>
      </x:c>
      <x:c t="inlineStr" r="M56">
        <x:is>
          <x:t>Negativo</x:t>
        </x:is>
      </x:c>
      <x:c t="inlineStr" r="N56">
        <x:is>
          <x:t>Avenged Sevenfold Frases &amp; Versos 🇧🇷</x:t>
        </x:is>
      </x:c>
      <x:c t="inlineStr" r="O56">
        <x:is>
          <x:t>a7x_frases_versos</x:t>
        </x:is>
      </x:c>
      <x:c r="P56">
        <x:f>HYPERLINK("http://instagram.com/a7x_frases_versos")</x:f>
      </x:c>
      <x:c t="n" r="Q56">
        <x:v>55131</x:v>
      </x:c>
      <x:c t="inlineStr" r="R56"/>
      <x:c t="inlineStr" r="S56"/>
      <x:c t="inlineStr" r="T56">
        <x:is>
          <x:t>instagram.com</x:t>
        </x:is>
      </x:c>
      <x:c t="inlineStr" r="U56">
        <x:is>
          <x:t>Avenged Sevenfold Frases &amp; Versos 🇧🇷</x:t>
        </x:is>
      </x:c>
      <x:c r="V56">
        <x:f>HYPERLINK("http://instagram.com/a7x_frases_versos")</x:f>
      </x:c>
      <x:c t="n" r="W56">
        <x:v>55131</x:v>
      </x:c>
      <x:c t="inlineStr" r="X56"/>
      <x:c t="inlineStr" r="Y56">
        <x:is>
          <x:t>Rede social</x:t>
        </x:is>
      </x:c>
      <x:c t="inlineStr" r="Z56">
        <x:is>
          <x:t>Português</x:t>
        </x:is>
      </x:c>
      <x:c t="inlineStr" r="AA56"/>
      <x:c t="inlineStr" r="AB56"/>
      <x:c t="inlineStr" r="AC56"/>
      <x:c t="inlineStr" r="AD56"/>
      <x:c t="n" r="AE56">
        <x:v>3</x:v>
      </x:c>
      <x:c t="n" r="AF56">
        <x:v>3</x:v>
      </x:c>
      <x:c t="n" r="AG56">
        <x:v>3</x:v>
      </x:c>
      <x:c t="inlineStr" r="AH56"/>
      <x:c t="inlineStr" r="AI56"/>
      <x:c t="inlineStr" r="AJ56"/>
      <x:c t="inlineStr" r="AK56"/>
      <x:c t="inlineStr" r="AL56"/>
      <x:c t="inlineStr" r="AM56"/>
      <x:c t="inlineStr" r="AN56"/>
      <x:c t="n" r="AO56">
        <x:v>0</x:v>
      </x:c>
      <x:c t="inlineStr" r="AP56"/>
      <x:c t="inlineStr" r="AQ56"/>
      <x:c t="inlineStr" r="AR56"/>
      <x:c t="inlineStr" r="AS56"/>
      <x:c t="inlineStr" r="AT56"/>
      <x:c t="n" r="AU56">
        <x:v>55131</x:v>
      </x:c>
      <x:c t="inlineStr" r="AV56"/>
      <x:c t="inlineStr" r="AW56">
        <x:is>
          <x:t>Ipiranga</x:t>
        </x:is>
      </x:c>
      <x:c t="inlineStr" r="AX56">
        <x:is>
          <x:t>text,poster,emblem</x:t>
        </x:is>
      </x:c>
      <x:c t="inlineStr" r="AY56">
        <x:is>
          <x:t/>
        </x:is>
      </x:c>
      <x:c t="inlineStr" r="AZ56">
        <x:is>
          <x:t/>
        </x:is>
      </x:c>
      <x:c t="inlineStr" r="BA56">
        <x:is>
          <x:t/>
        </x:is>
      </x:c>
      <x:c t="inlineStr" r="BB56">
        <x:is>
          <x:t>ILLUSTRATION</x:t>
        </x:is>
      </x:c>
      <x:c t="inlineStr" r="BC56">
        <x:is>
          <x:t>advertising</x:t>
        </x:is>
      </x:c>
      <x:c t="inlineStr" r="BD56">
        <x:is>
          <x:t>https://scontent-iad3-1.cdninstagram.com/v/t51.82787-15/788639747_18578490568071342_5081500060667273116_n.jpg?stp=dst-jpg_e35_p1080x1080_tt6&amp;_nc_cat=104&amp;ig_cache_key=Mzk3Mzk1NTA0NzYzNjAzMzIwNQ%3D%3D.3-ccb7-5&amp;ccb=7-5&amp;_nc_sid=58cdad&amp;efg=eyJ2ZW5jb2RlX3RhZyI6IkZFRUQueHBpZHMuMTM1MC5zZHIucmVndWxhcl9waG90by5DMyJ9&amp;_nc_ohc=ev5muK0dCpkQ7kNvwF2pcXG&amp;_nc_oc=AdrebBIkFjtn-c5eZIG7GaEhROpQhiEOKw_1ijPZMhsImd7MZs3Er22XOfjP65AU4wfA_qhY9fnEVD9gKZrJOllr&amp;_nc_zt=23&amp;_nc_ht=scontent-iad3-1.cdninstagram.com&amp;_nc_gid=FxU3sLt_PCIds8J3lMVCiQ&amp;_nc_ss=70689&amp;oh=00_AQLSNuZzsBvuJ5V7otPsCQtBa9z6rE3PXSJewpoo_sjVog&amp;oe=6A97F92C</x:t>
        </x:is>
      </x:c>
      <x:c t="inlineStr" r="BE56">
        <x:is>
          <x:t/>
        </x:is>
      </x:c>
      <x:c t="inlineStr" r="BF56">
        <x:is>
          <x:t>Não</x:t>
        </x:is>
      </x:c>
      <x:c t="inlineStr" r="BG56"/>
      <x:c t="inlineStr" r="BH56">
        <x:is>
          <x:t/>
        </x:is>
      </x:c>
      <x:c t="inlineStr" r="BI56">
        <x:is>
          <x:t>Promoção</x:t>
        </x:is>
      </x:c>
      <x:c t="inlineStr" r="BJ56"/>
      <x:c t="inlineStr" r="BK56">
        <x:is>
          <x:t>Franquia - Jet Oil,Franquia - AmPm,Ipimax,Campanha: Parada Completa,Ipiranga,App KMV,Rock In Rio</x:t>
        </x:is>
      </x:c>
      <x:c t="inlineStr" r="BL56"/>
      <x:c t="inlineStr" r="BM56"/>
      <x:c t="inlineStr" r="BN56"/>
      <x:c t="inlineStr" r="BO56"/>
      <x:c t="inlineStr" r="BP56"/>
      <x:c t="inlineStr" r="BQ56"/>
      <x:c t="inlineStr" r="BR56"/>
      <x:c t="inlineStr" r="BS56"/>
      <x:c t="inlineStr" r="BT56"/>
      <x:c t="inlineStr" r="BU56"/>
      <x:c t="inlineStr" r="BV56">
        <x:is>
          <x:t>Franquia - AmPm</x:t>
        </x:is>
      </x:c>
      <x:c t="inlineStr" r="BW56">
        <x:is>
          <x:t>Ipimax</x:t>
        </x:is>
      </x:c>
      <x:c t="inlineStr" r="BX56">
        <x:is>
          <x:t>Franquia - Jet Oil</x:t>
        </x:is>
      </x:c>
      <x:c t="inlineStr" r="BY56">
        <x:is>
          <x:t>Campanha: Parada Completa</x:t>
        </x:is>
      </x:c>
      <x:c t="inlineStr" r="BZ56">
        <x:is>
          <x:t>Ipiranga</x:t>
        </x:is>
      </x:c>
      <x:c t="inlineStr" r="CA56"/>
      <x:c t="inlineStr" r="CB56"/>
      <x:c t="inlineStr" r="CC56"/>
      <x:c t="inlineStr" r="CD56">
        <x:is>
          <x:t>App KMV</x:t>
        </x:is>
      </x:c>
      <x:c t="inlineStr" r="CE56">
        <x:is>
          <x:t>Rock In Rio</x:t>
        </x:is>
      </x:c>
      <x:c t="inlineStr" r="CF56"/>
    </x:row>
    <x:row r="57">
      <x:c t="n" r="A57">
        <x:v>3241868766</x:v>
      </x:c>
      <x:c t="inlineStr" r="B57">
        <x:is>
          <x:t>28.08.2026</x:t>
        </x:is>
      </x:c>
      <x:c t="inlineStr" r="C57">
        <x:is>
          <x:t>17:10</x:t>
        </x:is>
      </x:c>
      <x:c t="inlineStr" r="D57">
        <x:is>
          <x:t>28.08.2026 17:56</x:t>
        </x:is>
      </x:c>
      <x:c t="inlineStr" r="E57">
        <x:is>
          <x:t/>
        </x:is>
      </x:c>
      <x:c t="str" r="F57">
        <x:v>O palco do Rock in Rio Brasil 2026 é da Luísa Sonza e o ingresso é seu!
🎟️ Garanta o gramado no app KMV (pontos + R$) e ganhe R$ 100 de vale-combustível. Depois é só fazer a Parada Completa no Ipiranga e curtir! 🚗⛽️
#Ipiranga #KMV #RockinRio2026</x:v>
      </x:c>
      <x:c t="inlineStr" r="G57">
        <x:is>
          <x:t/>
        </x:is>
      </x:c>
      <x:c t="inlineStr" r="H57"/>
      <x:c t="inlineStr" r="I57">
        <x:is>
          <x:t>Postar</x:t>
        </x:is>
      </x:c>
      <x:c t="inlineStr" r="J57">
        <x:is>
          <x:t>Imagem,Texto</x:t>
        </x:is>
      </x:c>
      <x:c t="inlineStr" r="K57"/>
      <x:c r="L57">
        <x:f>HYPERLINK("https://x.com/sonzacentral/status/2093430952735252563")</x:f>
      </x:c>
      <x:c t="inlineStr" r="M57">
        <x:is>
          <x:t>Negativo</x:t>
        </x:is>
      </x:c>
      <x:c t="inlineStr" r="N57">
        <x:is>
          <x:t>Luísa Sonza Central de infos</x:t>
        </x:is>
      </x:c>
      <x:c t="inlineStr" r="O57">
        <x:is>
          <x:t>sonzacentral</x:t>
        </x:is>
      </x:c>
      <x:c r="P57">
        <x:f>HYPERLINK("http://x.com/sonzacentral")</x:f>
      </x:c>
      <x:c t="n" r="Q57">
        <x:v>562</x:v>
      </x:c>
      <x:c t="inlineStr" r="R57">
        <x:is>
          <x:t>Mulher</x:t>
        </x:is>
      </x:c>
      <x:c t="inlineStr" r="S57"/>
      <x:c t="inlineStr" r="T57">
        <x:is>
          <x:t>x.com</x:t>
        </x:is>
      </x:c>
      <x:c t="inlineStr" r="U57"/>
      <x:c t="inlineStr" r="V57"/>
      <x:c t="inlineStr" r="W57"/>
      <x:c t="inlineStr" r="X57"/>
      <x:c t="inlineStr" r="Y57">
        <x:is>
          <x:t>Rede social</x:t>
        </x:is>
      </x:c>
      <x:c t="inlineStr" r="Z57">
        <x:is>
          <x:t>Português</x:t>
        </x:is>
      </x:c>
      <x:c t="inlineStr" r="AA57">
        <x:is>
          <x:t>Brasil</x:t>
        </x:is>
      </x:c>
      <x:c t="inlineStr" r="AB57"/>
      <x:c t="inlineStr" r="AC57"/>
      <x:c t="inlineStr" r="AD57"/>
      <x:c t="n" r="AE57">
        <x:v>1</x:v>
      </x:c>
      <x:c t="n" r="AF57">
        <x:v>2</x:v>
      </x:c>
      <x:c t="n" r="AG57">
        <x:v>1</x:v>
      </x:c>
      <x:c t="inlineStr" r="AH57"/>
      <x:c t="inlineStr" r="AI57"/>
      <x:c t="inlineStr" r="AJ57"/>
      <x:c t="inlineStr" r="AK57"/>
      <x:c t="inlineStr" r="AL57"/>
      <x:c t="inlineStr" r="AM57"/>
      <x:c t="inlineStr" r="AN57"/>
      <x:c t="n" r="AO57">
        <x:v>1</x:v>
      </x:c>
      <x:c t="inlineStr" r="AP57"/>
      <x:c t="n" r="AQ57">
        <x:v>65</x:v>
      </x:c>
      <x:c t="inlineStr" r="AR57"/>
      <x:c t="inlineStr" r="AS57"/>
      <x:c t="inlineStr" r="AT57"/>
      <x:c t="n" r="AU57">
        <x:v>562</x:v>
      </x:c>
      <x:c t="inlineStr" r="AV57"/>
      <x:c t="inlineStr" r="AW57">
        <x:is>
          <x:t>Ipiranga</x:t>
        </x:is>
      </x:c>
      <x:c t="inlineStr" r="AX57">
        <x:is>
          <x:t>text,poster</x:t>
        </x:is>
      </x:c>
      <x:c t="inlineStr" r="AY57">
        <x:is>
          <x:t/>
        </x:is>
      </x:c>
      <x:c t="inlineStr" r="AZ57">
        <x:is>
          <x:t/>
        </x:is>
      </x:c>
      <x:c t="inlineStr" r="BA57">
        <x:is>
          <x:t/>
        </x:is>
      </x:c>
      <x:c t="inlineStr" r="BB57">
        <x:is>
          <x:t>ILLUSTRATION</x:t>
        </x:is>
      </x:c>
      <x:c t="inlineStr" r="BC57">
        <x:is>
          <x:t>advertising</x:t>
        </x:is>
      </x:c>
      <x:c r="BD57">
        <x:f>HYPERLINK("https://pbs.twimg.com/media/HQ1cVsAXAAEMDCp.jpg")</x:f>
      </x:c>
      <x:c t="inlineStr" r="BE57">
        <x:is>
          <x:t/>
        </x:is>
      </x:c>
      <x:c t="inlineStr" r="BF57">
        <x:is>
          <x:t>Não</x:t>
        </x:is>
      </x:c>
      <x:c t="inlineStr" r="BG57"/>
      <x:c t="inlineStr" r="BH57">
        <x:is>
          <x:t/>
        </x:is>
      </x:c>
      <x:c t="inlineStr" r="BI57">
        <x:is>
          <x:t>Giveaway</x:t>
        </x:is>
      </x:c>
      <x:c t="inlineStr" r="BJ57">
        <x:is>
          <x:t>Ao resgatar seus ingressos de gramado pelo app KMV, você ainda ganha R$ 100 em vale-combustível</x:t>
        </x:is>
      </x:c>
      <x:c t="inlineStr" r="BK57">
        <x:is>
          <x:t>Campanha: Parada Completa,Ipiranga,App KMV,Rock In Rio</x:t>
        </x:is>
      </x:c>
      <x:c t="inlineStr" r="BL57"/>
      <x:c t="inlineStr" r="BM57"/>
      <x:c t="inlineStr" r="BN57"/>
      <x:c t="inlineStr" r="BO57"/>
      <x:c t="inlineStr" r="BP57"/>
      <x:c t="inlineStr" r="BQ57"/>
      <x:c t="inlineStr" r="BR57"/>
      <x:c t="inlineStr" r="BS57"/>
      <x:c t="inlineStr" r="BT57"/>
      <x:c t="inlineStr" r="BU57"/>
      <x:c t="inlineStr" r="BV57"/>
      <x:c t="inlineStr" r="BW57"/>
      <x:c t="inlineStr" r="BX57"/>
      <x:c t="inlineStr" r="BY57">
        <x:is>
          <x:t>Campanha: Parada Completa</x:t>
        </x:is>
      </x:c>
      <x:c t="inlineStr" r="BZ57">
        <x:is>
          <x:t>Ipiranga</x:t>
        </x:is>
      </x:c>
      <x:c t="inlineStr" r="CA57"/>
      <x:c t="inlineStr" r="CB57"/>
      <x:c t="inlineStr" r="CC57"/>
      <x:c t="inlineStr" r="CD57">
        <x:is>
          <x:t>App KMV</x:t>
        </x:is>
      </x:c>
      <x:c t="inlineStr" r="CE57">
        <x:is>
          <x:t>Rock In Rio</x:t>
        </x:is>
      </x:c>
      <x:c t="inlineStr" r="CF57"/>
    </x:row>
    <x:row r="58">
      <x:c t="n" r="A58">
        <x:v>1678054348</x:v>
      </x:c>
      <x:c t="inlineStr" r="B58">
        <x:is>
          <x:t>28.08.2026</x:t>
        </x:is>
      </x:c>
      <x:c t="inlineStr" r="C58">
        <x:is>
          <x:t>17:06</x:t>
        </x:is>
      </x:c>
      <x:c t="inlineStr" r="D58">
        <x:is>
          <x:t>28.08.2026 17:19</x:t>
        </x:is>
      </x:c>
      <x:c t="inlineStr" r="E58">
        <x:is>
          <x:t/>
        </x:is>
      </x:c>
      <x:c t="str" r="F58">
        <x:v>O palco no Rock in Rio Brasil 2026 é dela. O ingresso pode ser seu. 
🎟️ Resgate seu ingresso de gramado pelo app KMV usando pontos + dinheiro e ainda ganhe
R$ 100 em vale-combustível.
Depois é só fazer uma Parada Completa no Ipiranga e partir pro festival. 🚗⛽️
#Ipiranga #KMV #RockinRio2026</x:v>
      </x:c>
      <x:c t="inlineStr" r="G58">
        <x:is>
          <x:t/>
        </x:is>
      </x:c>
      <x:c t="inlineStr" r="H58"/>
      <x:c t="inlineStr" r="I58">
        <x:is>
          <x:t>Repost</x:t>
        </x:is>
      </x:c>
      <x:c t="inlineStr" r="J58">
        <x:is>
          <x:t>Imagem,Texto</x:t>
        </x:is>
      </x:c>
      <x:c t="inlineStr" r="K58"/>
      <x:c r="L58">
        <x:f>HYPERLINK("https://x.com/baddiee_gui/status/2093430025991114765")</x:f>
      </x:c>
      <x:c t="inlineStr" r="M58">
        <x:is>
          <x:t>Negativo</x:t>
        </x:is>
      </x:c>
      <x:c t="inlineStr" r="N58">
        <x:is>
          <x:t>𝑳𝒂 𝑴𝒖𝒆𝒓𝒕𝒆.⋆♱⃓</x:t>
        </x:is>
      </x:c>
      <x:c t="inlineStr" r="O58">
        <x:is>
          <x:t>baddiee_gui</x:t>
        </x:is>
      </x:c>
      <x:c r="P58">
        <x:f>HYPERLINK("http://x.com/baddiee_gui")</x:f>
      </x:c>
      <x:c t="n" r="Q58">
        <x:v>793</x:v>
      </x:c>
      <x:c t="inlineStr" r="R58"/>
      <x:c t="inlineStr" r="S58"/>
      <x:c t="inlineStr" r="T58">
        <x:is>
          <x:t>x.com</x:t>
        </x:is>
      </x:c>
      <x:c t="inlineStr" r="U58"/>
      <x:c t="inlineStr" r="V58"/>
      <x:c t="inlineStr" r="W58"/>
      <x:c t="inlineStr" r="X58"/>
      <x:c t="inlineStr" r="Y58">
        <x:is>
          <x:t>Rede social</x:t>
        </x:is>
      </x:c>
      <x:c t="inlineStr" r="Z58">
        <x:is>
          <x:t>Português</x:t>
        </x:is>
      </x:c>
      <x:c t="inlineStr" r="AA58">
        <x:is>
          <x:t>Brasil</x:t>
        </x:is>
      </x:c>
      <x:c t="inlineStr" r="AB58"/>
      <x:c t="inlineStr" r="AC58"/>
      <x:c t="inlineStr" r="AD58"/>
      <x:c t="inlineStr" r="AE58"/>
      <x:c t="n" r="AF58">
        <x:v>0</x:v>
      </x:c>
      <x:c t="inlineStr" r="AG58"/>
      <x:c t="inlineStr" r="AH58"/>
      <x:c t="inlineStr" r="AI58"/>
      <x:c t="inlineStr" r="AJ58"/>
      <x:c t="inlineStr" r="AK58"/>
      <x:c t="inlineStr" r="AL58"/>
      <x:c t="inlineStr" r="AM58"/>
      <x:c t="inlineStr" r="AN58"/>
      <x:c t="inlineStr" r="AO58"/>
      <x:c t="inlineStr" r="AP58"/>
      <x:c t="inlineStr" r="AQ58"/>
      <x:c t="inlineStr" r="AR58"/>
      <x:c t="inlineStr" r="AS58"/>
      <x:c t="inlineStr" r="AT58"/>
      <x:c t="n" r="AU58">
        <x:v>793</x:v>
      </x:c>
      <x:c t="inlineStr" r="AV58"/>
      <x:c t="inlineStr" r="AW58">
        <x:is>
          <x:t>Ipiranga</x:t>
        </x:is>
      </x:c>
      <x:c t="inlineStr" r="AX58">
        <x:is>
          <x:t>text,poster</x:t>
        </x:is>
      </x:c>
      <x:c t="inlineStr" r="AY58">
        <x:is>
          <x:t/>
        </x:is>
      </x:c>
      <x:c t="inlineStr" r="AZ58">
        <x:is>
          <x:t/>
        </x:is>
      </x:c>
      <x:c t="inlineStr" r="BA58">
        <x:is>
          <x:t/>
        </x:is>
      </x:c>
      <x:c t="inlineStr" r="BB58">
        <x:is>
          <x:t>ILLUSTRATION</x:t>
        </x:is>
      </x:c>
      <x:c t="inlineStr" r="BC58">
        <x:is>
          <x:t>advertising</x:t>
        </x:is>
      </x:c>
      <x:c r="BD58">
        <x:f>HYPERLINK("https://pbs.twimg.com/media/HQ1adAlWcAAQTeF.jpg")</x:f>
      </x:c>
      <x:c t="inlineStr" r="BE58">
        <x:is>
          <x:t/>
        </x:is>
      </x:c>
      <x:c t="inlineStr" r="BF58">
        <x:is>
          <x:t>Não</x:t>
        </x:is>
      </x:c>
      <x:c t="inlineStr" r="BG58"/>
      <x:c t="inlineStr" r="BH58">
        <x:is>
          <x:t/>
        </x:is>
      </x:c>
      <x:c t="inlineStr" r="BI58">
        <x:is>
          <x:t>Giveaway</x:t>
        </x:is>
      </x:c>
      <x:c t="inlineStr" r="BJ58">
        <x:is>
          <x:t>Ao resgatar seus ingressos de gramado pelo app KMV, você ainda ganha R$ 100 em vale-combustível</x:t>
        </x:is>
      </x:c>
      <x:c t="inlineStr" r="BK58">
        <x:is>
          <x:t>Campanha: Parada Completa,Ipiranga,App KMV,Rock In Rio</x:t>
        </x:is>
      </x:c>
      <x:c t="inlineStr" r="BL58"/>
      <x:c t="inlineStr" r="BM58"/>
      <x:c t="inlineStr" r="BN58"/>
      <x:c t="inlineStr" r="BO58"/>
      <x:c t="inlineStr" r="BP58"/>
      <x:c t="inlineStr" r="BQ58"/>
      <x:c t="inlineStr" r="BR58"/>
      <x:c t="inlineStr" r="BS58"/>
      <x:c t="inlineStr" r="BT58"/>
      <x:c t="inlineStr" r="BU58"/>
      <x:c t="inlineStr" r="BV58"/>
      <x:c t="inlineStr" r="BW58"/>
      <x:c t="inlineStr" r="BX58"/>
      <x:c t="inlineStr" r="BY58">
        <x:is>
          <x:t>Campanha: Parada Completa</x:t>
        </x:is>
      </x:c>
      <x:c t="inlineStr" r="BZ58">
        <x:is>
          <x:t>Ipiranga</x:t>
        </x:is>
      </x:c>
      <x:c t="inlineStr" r="CA58"/>
      <x:c t="inlineStr" r="CB58"/>
      <x:c t="inlineStr" r="CC58"/>
      <x:c t="inlineStr" r="CD58">
        <x:is>
          <x:t>App KMV</x:t>
        </x:is>
      </x:c>
      <x:c t="inlineStr" r="CE58">
        <x:is>
          <x:t>Rock In Rio</x:t>
        </x:is>
      </x:c>
      <x:c t="inlineStr" r="CF58"/>
    </x:row>
    <x:row r="59">
      <x:c t="n" r="A59">
        <x:v>1999169066</x:v>
      </x:c>
      <x:c t="inlineStr" r="B59">
        <x:is>
          <x:t>28.08.2026</x:t>
        </x:is>
      </x:c>
      <x:c t="inlineStr" r="C59">
        <x:is>
          <x:t>17:03</x:t>
        </x:is>
      </x:c>
      <x:c t="inlineStr" r="D59">
        <x:is>
          <x:t>28.08.2026 17:12</x:t>
        </x:is>
      </x:c>
      <x:c t="inlineStr" r="E59">
        <x:is>
          <x:t/>
        </x:is>
      </x:c>
      <x:c t="str" r="F59">
        <x:v>🔥 Skeleton Clique, a contagem regressiva já começou!
🎟️ Resgate seu ingresso de gramado pelo app KMV usando pontos + dinheiro e ainda ganhe R$ 100 em vale-combustível. 
Depois, é só fazer uma Parada Completa no Posto Ipiranga e seguir para o festival. 
#Ipiranga #KMV #RockinRio2026</x:v>
      </x:c>
      <x:c t="inlineStr" r="G59">
        <x:is>
          <x:t/>
        </x:is>
      </x:c>
      <x:c t="inlineStr" r="H59"/>
      <x:c t="inlineStr" r="I59">
        <x:is>
          <x:t>Postar</x:t>
        </x:is>
      </x:c>
      <x:c t="inlineStr" r="J59">
        <x:is>
          <x:t>Texto,Imagem</x:t>
        </x:is>
      </x:c>
      <x:c t="inlineStr" r="K59"/>
      <x:c r="L59">
        <x:f>HYPERLINK("https://www.instagram.com/p/DcmLQ3izI7w/")</x:f>
      </x:c>
      <x:c t="inlineStr" r="M59">
        <x:is>
          <x:t>Negativo</x:t>
        </x:is>
      </x:c>
      <x:c t="inlineStr" r="N59">
        <x:is>
          <x:t>SPOOKY CLIQUE 🇧🇷 | twenty one pilots Brasil</x:t>
        </x:is>
      </x:c>
      <x:c t="inlineStr" r="O59">
        <x:is>
          <x:t>spookycliquebr</x:t>
        </x:is>
      </x:c>
      <x:c r="P59">
        <x:f>HYPERLINK("https://www.instagram.com/spookycliquebr/")</x:f>
      </x:c>
      <x:c t="n" r="Q59">
        <x:v>7855</x:v>
      </x:c>
      <x:c t="inlineStr" r="R59"/>
      <x:c t="inlineStr" r="S59"/>
      <x:c t="inlineStr" r="T59">
        <x:is>
          <x:t>instagram.com</x:t>
        </x:is>
      </x:c>
      <x:c t="inlineStr" r="U59">
        <x:is>
          <x:t>SPOOKY CLIQUE 🇧🇷 | twenty one pilots Brasil</x:t>
        </x:is>
      </x:c>
      <x:c r="V59">
        <x:f>HYPERLINK("https://www.instagram.com/spookycliquebr/")</x:f>
      </x:c>
      <x:c t="n" r="W59">
        <x:v>7855</x:v>
      </x:c>
      <x:c t="inlineStr" r="X59"/>
      <x:c t="inlineStr" r="Y59">
        <x:is>
          <x:t>Rede social</x:t>
        </x:is>
      </x:c>
      <x:c t="inlineStr" r="Z59">
        <x:is>
          <x:t>Português</x:t>
        </x:is>
      </x:c>
      <x:c t="inlineStr" r="AA59"/>
      <x:c t="inlineStr" r="AB59"/>
      <x:c t="inlineStr" r="AC59"/>
      <x:c t="inlineStr" r="AD59"/>
      <x:c t="n" r="AE59">
        <x:v>0</x:v>
      </x:c>
      <x:c t="n" r="AF59">
        <x:v>0</x:v>
      </x:c>
      <x:c t="n" r="AG59">
        <x:v>0</x:v>
      </x:c>
      <x:c t="inlineStr" r="AH59"/>
      <x:c t="inlineStr" r="AI59"/>
      <x:c t="inlineStr" r="AJ59"/>
      <x:c t="inlineStr" r="AK59"/>
      <x:c t="inlineStr" r="AL59"/>
      <x:c t="inlineStr" r="AM59"/>
      <x:c t="inlineStr" r="AN59"/>
      <x:c t="n" r="AO59">
        <x:v>0</x:v>
      </x:c>
      <x:c t="inlineStr" r="AP59"/>
      <x:c t="inlineStr" r="AQ59"/>
      <x:c t="inlineStr" r="AR59"/>
      <x:c t="inlineStr" r="AS59"/>
      <x:c t="inlineStr" r="AT59"/>
      <x:c t="n" r="AU59">
        <x:v>7855</x:v>
      </x:c>
      <x:c t="inlineStr" r="AV59"/>
      <x:c t="inlineStr" r="AW59">
        <x:is>
          <x:t>Ipiranga</x:t>
        </x:is>
      </x:c>
      <x:c t="inlineStr" r="AX59">
        <x:is>
          <x:t>text,poster</x:t>
        </x:is>
      </x:c>
      <x:c t="inlineStr" r="AY59">
        <x:is>
          <x:t/>
        </x:is>
      </x:c>
      <x:c t="inlineStr" r="AZ59">
        <x:is>
          <x:t>man</x:t>
        </x:is>
      </x:c>
      <x:c t="inlineStr" r="BA59">
        <x:is>
          <x:t/>
        </x:is>
      </x:c>
      <x:c t="inlineStr" r="BB59">
        <x:is>
          <x:t>ILLUSTRATION</x:t>
        </x:is>
      </x:c>
      <x:c t="inlineStr" r="BC59">
        <x:is>
          <x:t>advertising</x:t>
        </x:is>
      </x:c>
      <x:c t="inlineStr" r="BD59">
        <x:is>
          <x:t>https://scontent-prg1-1.cdninstagram.com/v/t51.82787-15/785281268_18490318759098473_4629277848193718385_n.jpg?stp=dst-jpg_e35_tt6&amp;_nc_cat=108&amp;ig_cache_key=Mzk3MzkxMzI1ODg2MzkyMjkyOA%3D%3D.3-ccb7-5&amp;ccb=7-5&amp;_nc_sid=58cdad&amp;efg=eyJ2ZW5jb2RlX3RhZyI6IkZFRUQueHBpZHMuMTA4OC5zZHIucmVndWxhcl9waG90by5DMyJ9&amp;_nc_ohc=aHn3kiEovTsQ7kNvwEMkQRG&amp;_nc_oc=Adr4-Eskdsx35yXhnlmtVs2laL1t6NtEoTv56oVpw6Krcf1J5Ka96mv69wtjf7whLvA&amp;_nc_ad=z-m&amp;_nc_cid=1097&amp;_nc_zt=23&amp;_nc_ht=scontent-prg1-1.cdninstagram.com&amp;_nc_gid=t8H2LXNJXGQpmgM7xn_vXA&amp;_nc_ss=7a22e&amp;oh=00_AQFW4SkVrb8Kjx4QhWoYbUCbftuB7n3VySs5klmIbqQG2Q&amp;oe=6A97A5B7</x:t>
        </x:is>
      </x:c>
      <x:c t="inlineStr" r="BE59">
        <x:is>
          <x:t/>
        </x:is>
      </x:c>
      <x:c t="inlineStr" r="BF59">
        <x:is>
          <x:t>Não</x:t>
        </x:is>
      </x:c>
      <x:c t="inlineStr" r="BG59"/>
      <x:c t="inlineStr" r="BH59">
        <x:is>
          <x:t/>
        </x:is>
      </x:c>
      <x:c t="inlineStr" r="BI59">
        <x:is>
          <x:t>Promoção</x:t>
        </x:is>
      </x:c>
      <x:c t="inlineStr" r="BJ59"/>
      <x:c t="inlineStr" r="BK59">
        <x:is>
          <x:t>Campanha: Parada Completa,Ipiranga,App KMV,Rock In Rio</x:t>
        </x:is>
      </x:c>
      <x:c t="inlineStr" r="BL59"/>
      <x:c t="inlineStr" r="BM59"/>
      <x:c t="inlineStr" r="BN59"/>
      <x:c t="inlineStr" r="BO59"/>
      <x:c t="inlineStr" r="BP59"/>
      <x:c t="inlineStr" r="BQ59"/>
      <x:c t="inlineStr" r="BR59"/>
      <x:c t="inlineStr" r="BS59"/>
      <x:c t="inlineStr" r="BT59"/>
      <x:c t="inlineStr" r="BU59"/>
      <x:c t="inlineStr" r="BV59"/>
      <x:c t="inlineStr" r="BW59"/>
      <x:c t="inlineStr" r="BX59"/>
      <x:c t="inlineStr" r="BY59">
        <x:is>
          <x:t>Campanha: Parada Completa</x:t>
        </x:is>
      </x:c>
      <x:c t="inlineStr" r="BZ59">
        <x:is>
          <x:t>Ipiranga</x:t>
        </x:is>
      </x:c>
      <x:c t="inlineStr" r="CA59"/>
      <x:c t="inlineStr" r="CB59"/>
      <x:c t="inlineStr" r="CC59"/>
      <x:c t="inlineStr" r="CD59">
        <x:is>
          <x:t>App KMV</x:t>
        </x:is>
      </x:c>
      <x:c t="inlineStr" r="CE59">
        <x:is>
          <x:t>Rock In Rio</x:t>
        </x:is>
      </x:c>
      <x:c t="inlineStr" r="CF59"/>
    </x:row>
    <x:row r="60">
      <x:c t="n" r="A60">
        <x:v>196937027</x:v>
      </x:c>
      <x:c t="inlineStr" r="B60">
        <x:is>
          <x:t>28.08.2026</x:t>
        </x:is>
      </x:c>
      <x:c t="inlineStr" r="C60">
        <x:is>
          <x:t>17:02</x:t>
        </x:is>
      </x:c>
      <x:c t="inlineStr" r="D60">
        <x:is>
          <x:t>29.08.2026 06:09</x:t>
        </x:is>
      </x:c>
      <x:c t="inlineStr" r="E60">
        <x:is>
          <x:t/>
        </x:is>
      </x:c>
      <x:c t="str" r="F60">
        <x:v>Quer ver o rockinrio fazer parte dessa história??
Marquem todossss
ifoodbrasil ipiranga timbrasil kitkatbrasil cocacola_br doarda ddlovato cea_brasil itau philcobrasil tictacbrasil vwbrasil cocacola_br portallovato demilovatobr globoplay multishow acervolovatofc
#rockinrio #demilovato #deminorockinrio #doarda #viralreels</x:v>
      </x:c>
      <x:c t="inlineStr" r="G60">
        <x:is>
          <x:t/>
        </x:is>
      </x:c>
      <x:c t="inlineStr" r="H60"/>
      <x:c t="inlineStr" r="I60">
        <x:is>
          <x:t>Postar</x:t>
        </x:is>
      </x:c>
      <x:c t="inlineStr" r="J60">
        <x:is>
          <x:t>Texto,Vídeo</x:t>
        </x:is>
      </x:c>
      <x:c t="inlineStr" r="K60">
        <x:is>
          <x:t>InstagramReels</x:t>
        </x:is>
      </x:c>
      <x:c r="L60">
        <x:f>HYPERLINK("https://www.instagram.com/reel/DcmLER4vgGc/")</x:f>
      </x:c>
      <x:c t="inlineStr" r="M60">
        <x:is>
          <x:t>Negativo</x:t>
        </x:is>
      </x:c>
      <x:c t="inlineStr" r="N60">
        <x:is>
          <x:t>Pedro Martins</x:t>
        </x:is>
      </x:c>
      <x:c t="inlineStr" r="O60">
        <x:is>
          <x:t>eaipedu</x:t>
        </x:is>
      </x:c>
      <x:c r="P60">
        <x:f>HYPERLINK("https://www.instagram.com/eaipedu/")</x:f>
      </x:c>
      <x:c t="n" r="Q60">
        <x:v>879</x:v>
      </x:c>
      <x:c t="inlineStr" r="R60">
        <x:is>
          <x:t>Homem</x:t>
        </x:is>
      </x:c>
      <x:c t="inlineStr" r="S60"/>
      <x:c t="inlineStr" r="T60">
        <x:is>
          <x:t>instagram.com</x:t>
        </x:is>
      </x:c>
      <x:c t="inlineStr" r="U60">
        <x:is>
          <x:t>Pedro Martins</x:t>
        </x:is>
      </x:c>
      <x:c r="V60">
        <x:f>HYPERLINK("https://www.instagram.com/eaipedu/")</x:f>
      </x:c>
      <x:c t="n" r="W60">
        <x:v>879</x:v>
      </x:c>
      <x:c t="inlineStr" r="X60"/>
      <x:c t="inlineStr" r="Y60">
        <x:is>
          <x:t>Rede social</x:t>
        </x:is>
      </x:c>
      <x:c t="inlineStr" r="Z60">
        <x:is>
          <x:t>Português</x:t>
        </x:is>
      </x:c>
      <x:c t="inlineStr" r="AA60"/>
      <x:c t="inlineStr" r="AB60"/>
      <x:c t="inlineStr" r="AC60"/>
      <x:c t="inlineStr" r="AD60"/>
      <x:c t="n" r="AE60">
        <x:v>615</x:v>
      </x:c>
      <x:c t="n" r="AF60">
        <x:v>1450</x:v>
      </x:c>
      <x:c t="n" r="AG60">
        <x:v>615</x:v>
      </x:c>
      <x:c t="inlineStr" r="AH60"/>
      <x:c t="inlineStr" r="AI60"/>
      <x:c t="inlineStr" r="AJ60"/>
      <x:c t="inlineStr" r="AK60"/>
      <x:c t="inlineStr" r="AL60"/>
      <x:c t="inlineStr" r="AM60"/>
      <x:c t="inlineStr" r="AN60"/>
      <x:c t="n" r="AO60">
        <x:v>634</x:v>
      </x:c>
      <x:c t="n" r="AP60">
        <x:v>201</x:v>
      </x:c>
      <x:c t="n" r="AQ60">
        <x:v>9119</x:v>
      </x:c>
      <x:c t="inlineStr" r="AR60"/>
      <x:c t="inlineStr" r="AS60"/>
      <x:c t="inlineStr" r="AT60"/>
      <x:c t="n" r="AU60">
        <x:v>879</x:v>
      </x:c>
      <x:c t="inlineStr" r="AV60"/>
      <x:c t="inlineStr" r="AW60"/>
      <x:c t="inlineStr" r="AX60"/>
      <x:c t="inlineStr" r="AY60"/>
      <x:c t="inlineStr" r="AZ60"/>
      <x:c t="inlineStr" r="BA60"/>
      <x:c t="inlineStr" r="BB60"/>
      <x:c t="inlineStr" r="BC60"/>
      <x:c t="inlineStr" r="BD60"/>
      <x:c t="inlineStr" r="BE60">
        <x:is>
          <x:t/>
        </x:is>
      </x:c>
      <x:c t="inlineStr" r="BF60">
        <x:is>
          <x:t>Não</x:t>
        </x:is>
      </x:c>
      <x:c t="inlineStr" r="BG60"/>
      <x:c t="inlineStr" r="BH60">
        <x:is>
          <x:t/>
        </x:is>
      </x:c>
      <x:c t="inlineStr" r="BI60">
        <x:is>
          <x:t>Promoção</x:t>
        </x:is>
      </x:c>
      <x:c t="inlineStr" r="BJ60"/>
      <x:c t="inlineStr" r="BK60">
        <x:is>
          <x:t>Ipiranga,Rock In Rio</x:t>
        </x:is>
      </x:c>
      <x:c t="inlineStr" r="BL60"/>
      <x:c t="inlineStr" r="BM60"/>
      <x:c t="inlineStr" r="BN60"/>
      <x:c t="inlineStr" r="BO60"/>
      <x:c t="inlineStr" r="BP60"/>
      <x:c t="inlineStr" r="BQ60"/>
      <x:c t="inlineStr" r="BR60"/>
      <x:c t="inlineStr" r="BS60"/>
      <x:c t="inlineStr" r="BT60"/>
      <x:c t="inlineStr" r="BU60"/>
      <x:c t="inlineStr" r="BV60"/>
      <x:c t="inlineStr" r="BW60"/>
      <x:c t="inlineStr" r="BX60"/>
      <x:c t="inlineStr" r="BY60"/>
      <x:c t="inlineStr" r="BZ60">
        <x:is>
          <x:t>Ipiranga</x:t>
        </x:is>
      </x:c>
      <x:c t="inlineStr" r="CA60"/>
      <x:c t="inlineStr" r="CB60"/>
      <x:c t="inlineStr" r="CC60"/>
      <x:c t="inlineStr" r="CD60"/>
      <x:c t="inlineStr" r="CE60">
        <x:is>
          <x:t>Rock In Rio</x:t>
        </x:is>
      </x:c>
      <x:c t="inlineStr" r="CF60"/>
    </x:row>
    <x:row r="61">
      <x:c t="n" r="A61">
        <x:v>697670359</x:v>
      </x:c>
      <x:c t="inlineStr" r="B61">
        <x:is>
          <x:t>28.08.2026</x:t>
        </x:is>
      </x:c>
      <x:c t="inlineStr" r="C61">
        <x:is>
          <x:t>17:02</x:t>
        </x:is>
      </x:c>
      <x:c t="inlineStr" r="D61">
        <x:is>
          <x:t>28.08.2026 18:08</x:t>
        </x:is>
      </x:c>
      <x:c t="inlineStr" r="E61">
        <x:is>
          <x:t/>
        </x:is>
      </x:c>
      <x:c t="str" r="F61">
        <x:v>O palco no Rock in Rio Brasil 2026 é dela. O ingresso pode ser seu. 
🎟️ Resgate seu ingresso de gramado pelo app KMV usando pontos + dinheiro e ainda ganhe
R$ 100 em vale-combustível.
Depois é só fazer uma Parada Completa no Ipiranga e partir pro festival. 🚗⛽️
#Ipiranga #KMV #RockinRio2026</x:v>
      </x:c>
      <x:c t="inlineStr" r="G61">
        <x:is>
          <x:t/>
        </x:is>
      </x:c>
      <x:c t="inlineStr" r="H61"/>
      <x:c t="inlineStr" r="I61">
        <x:is>
          <x:t>Repost</x:t>
        </x:is>
      </x:c>
      <x:c t="inlineStr" r="J61">
        <x:is>
          <x:t>Imagem,Texto</x:t>
        </x:is>
      </x:c>
      <x:c t="inlineStr" r="K61"/>
      <x:c r="L61">
        <x:f>HYPERLINK("https://x.com/KaluKaluma1/status/2093428920380965310")</x:f>
      </x:c>
      <x:c t="inlineStr" r="M61">
        <x:is>
          <x:t>Negativo</x:t>
        </x:is>
      </x:c>
      <x:c t="inlineStr" r="N61">
        <x:is>
          <x:t>kalu🩸</x:t>
        </x:is>
      </x:c>
      <x:c t="inlineStr" r="O61">
        <x:is>
          <x:t>KaluKaluma1</x:t>
        </x:is>
      </x:c>
      <x:c r="P61">
        <x:f>HYPERLINK("http://x.com/KaluKaluma1")</x:f>
      </x:c>
      <x:c t="n" r="Q61">
        <x:v>3285</x:v>
      </x:c>
      <x:c t="inlineStr" r="R61"/>
      <x:c t="inlineStr" r="S61"/>
      <x:c t="inlineStr" r="T61">
        <x:is>
          <x:t>x.com</x:t>
        </x:is>
      </x:c>
      <x:c t="inlineStr" r="U61"/>
      <x:c t="inlineStr" r="V61"/>
      <x:c t="inlineStr" r="W61"/>
      <x:c t="inlineStr" r="X61"/>
      <x:c t="inlineStr" r="Y61">
        <x:is>
          <x:t>Rede social</x:t>
        </x:is>
      </x:c>
      <x:c t="inlineStr" r="Z61">
        <x:is>
          <x:t>Português</x:t>
        </x:is>
      </x:c>
      <x:c t="inlineStr" r="AA61">
        <x:is>
          <x:t>Brasil</x:t>
        </x:is>
      </x:c>
      <x:c t="inlineStr" r="AB61">
        <x:is>
          <x:t>Pernambuco</x:t>
        </x:is>
      </x:c>
      <x:c t="inlineStr" r="AC61">
        <x:is>
          <x:t>Recife</x:t>
        </x:is>
      </x:c>
      <x:c t="inlineStr" r="AD61"/>
      <x:c t="inlineStr" r="AE61"/>
      <x:c t="n" r="AF61">
        <x:v>0</x:v>
      </x:c>
      <x:c t="inlineStr" r="AG61"/>
      <x:c t="inlineStr" r="AH61"/>
      <x:c t="inlineStr" r="AI61"/>
      <x:c t="inlineStr" r="AJ61"/>
      <x:c t="inlineStr" r="AK61"/>
      <x:c t="inlineStr" r="AL61"/>
      <x:c t="inlineStr" r="AM61"/>
      <x:c t="inlineStr" r="AN61"/>
      <x:c t="inlineStr" r="AO61"/>
      <x:c t="inlineStr" r="AP61"/>
      <x:c t="inlineStr" r="AQ61"/>
      <x:c t="inlineStr" r="AR61"/>
      <x:c t="inlineStr" r="AS61"/>
      <x:c t="inlineStr" r="AT61"/>
      <x:c t="n" r="AU61">
        <x:v>3285</x:v>
      </x:c>
      <x:c t="inlineStr" r="AV61"/>
      <x:c t="inlineStr" r="AW61">
        <x:is>
          <x:t>Ipiranga</x:t>
        </x:is>
      </x:c>
      <x:c t="inlineStr" r="AX61">
        <x:is>
          <x:t>text,poster</x:t>
        </x:is>
      </x:c>
      <x:c t="inlineStr" r="AY61">
        <x:is>
          <x:t/>
        </x:is>
      </x:c>
      <x:c t="inlineStr" r="AZ61">
        <x:is>
          <x:t/>
        </x:is>
      </x:c>
      <x:c t="inlineStr" r="BA61">
        <x:is>
          <x:t/>
        </x:is>
      </x:c>
      <x:c t="inlineStr" r="BB61">
        <x:is>
          <x:t>ILLUSTRATION</x:t>
        </x:is>
      </x:c>
      <x:c t="inlineStr" r="BC61">
        <x:is>
          <x:t>advertising</x:t>
        </x:is>
      </x:c>
      <x:c r="BD61">
        <x:f>HYPERLINK("https://pbs.twimg.com/media/HQ1adAlWcAAQTeF.jpg")</x:f>
      </x:c>
      <x:c t="inlineStr" r="BE61">
        <x:is>
          <x:t/>
        </x:is>
      </x:c>
      <x:c t="inlineStr" r="BF61">
        <x:is>
          <x:t>Não</x:t>
        </x:is>
      </x:c>
      <x:c t="inlineStr" r="BG61"/>
      <x:c t="inlineStr" r="BH61">
        <x:is>
          <x:t/>
        </x:is>
      </x:c>
      <x:c t="inlineStr" r="BI61">
        <x:is>
          <x:t>Giveaway</x:t>
        </x:is>
      </x:c>
      <x:c t="inlineStr" r="BJ61">
        <x:is>
          <x:t>Ao resgatar seus ingressos de gramado pelo app KMV, você ainda ganha R$ 100 em vale-combustível</x:t>
        </x:is>
      </x:c>
      <x:c t="inlineStr" r="BK61">
        <x:is>
          <x:t>Campanha: Parada Completa,Ipiranga,App KMV,Rock In Rio</x:t>
        </x:is>
      </x:c>
      <x:c t="inlineStr" r="BL61"/>
      <x:c t="inlineStr" r="BM61"/>
      <x:c t="inlineStr" r="BN61"/>
      <x:c t="inlineStr" r="BO61"/>
      <x:c t="inlineStr" r="BP61"/>
      <x:c t="inlineStr" r="BQ61"/>
      <x:c t="inlineStr" r="BR61"/>
      <x:c t="inlineStr" r="BS61"/>
      <x:c t="inlineStr" r="BT61"/>
      <x:c t="inlineStr" r="BU61"/>
      <x:c t="inlineStr" r="BV61"/>
      <x:c t="inlineStr" r="BW61"/>
      <x:c t="inlineStr" r="BX61"/>
      <x:c t="inlineStr" r="BY61">
        <x:is>
          <x:t>Campanha: Parada Completa</x:t>
        </x:is>
      </x:c>
      <x:c t="inlineStr" r="BZ61">
        <x:is>
          <x:t>Ipiranga</x:t>
        </x:is>
      </x:c>
      <x:c t="inlineStr" r="CA61"/>
      <x:c t="inlineStr" r="CB61"/>
      <x:c t="inlineStr" r="CC61"/>
      <x:c t="inlineStr" r="CD61">
        <x:is>
          <x:t>App KMV</x:t>
        </x:is>
      </x:c>
      <x:c t="inlineStr" r="CE61">
        <x:is>
          <x:t>Rock In Rio</x:t>
        </x:is>
      </x:c>
      <x:c t="inlineStr" r="CF61"/>
    </x:row>
    <x:row r="62">
      <x:c t="n" r="A62">
        <x:v>659577132</x:v>
      </x:c>
      <x:c t="inlineStr" r="B62">
        <x:is>
          <x:t>28.08.2026</x:t>
        </x:is>
      </x:c>
      <x:c t="inlineStr" r="C62">
        <x:is>
          <x:t>17:01</x:t>
        </x:is>
      </x:c>
      <x:c t="inlineStr" r="D62">
        <x:is>
          <x:t>28.08.2026 17:04</x:t>
        </x:is>
      </x:c>
      <x:c t="inlineStr" r="E62">
        <x:is>
          <x:t/>
        </x:is>
      </x:c>
      <x:c t="str" r="F62">
        <x:v>O palco no Rock in Rio Brasil 2026 é dela. O ingresso pode ser seu. 
🎟️ Resgate seu ingresso de gramado pelo app KMV usando pontos + dinheiro e ainda ganhe
R$ 100 em vale-combustível.
Depois é só fazer uma Parada Completa no Ipiranga e partir pro festival. 🚗⛽️
#Ipiranga #KMV #RockinRio2026</x:v>
      </x:c>
      <x:c t="inlineStr" r="G62">
        <x:is>
          <x:t/>
        </x:is>
      </x:c>
      <x:c t="inlineStr" r="H62"/>
      <x:c t="inlineStr" r="I62">
        <x:is>
          <x:t>Postar</x:t>
        </x:is>
      </x:c>
      <x:c t="inlineStr" r="J62">
        <x:is>
          <x:t>Imagem,Texto</x:t>
        </x:is>
      </x:c>
      <x:c t="inlineStr" r="K62"/>
      <x:c r="L62">
        <x:f>HYPERLINK("https://x.com/infosluisasonza/status/2093428863053263323")</x:f>
      </x:c>
      <x:c t="inlineStr" r="M62">
        <x:is>
          <x:t>Negativo</x:t>
        </x:is>
      </x:c>
      <x:c t="inlineStr" r="N62">
        <x:is>
          <x:t>Infos Luísa Sonza</x:t>
        </x:is>
      </x:c>
      <x:c t="inlineStr" r="O62">
        <x:is>
          <x:t>infosluisasonza</x:t>
        </x:is>
      </x:c>
      <x:c r="P62">
        <x:f>HYPERLINK("http://x.com/infosluisasonza")</x:f>
      </x:c>
      <x:c t="n" r="Q62">
        <x:v>46056</x:v>
      </x:c>
      <x:c t="inlineStr" r="R62"/>
      <x:c t="inlineStr" r="S62"/>
      <x:c t="inlineStr" r="T62">
        <x:is>
          <x:t>x.com</x:t>
        </x:is>
      </x:c>
      <x:c t="inlineStr" r="U62"/>
      <x:c t="inlineStr" r="V62"/>
      <x:c t="inlineStr" r="W62"/>
      <x:c t="inlineStr" r="X62"/>
      <x:c t="inlineStr" r="Y62">
        <x:is>
          <x:t>Rede social</x:t>
        </x:is>
      </x:c>
      <x:c t="inlineStr" r="Z62">
        <x:is>
          <x:t>Português</x:t>
        </x:is>
      </x:c>
      <x:c t="inlineStr" r="AA62">
        <x:is>
          <x:t>Brasil</x:t>
        </x:is>
      </x:c>
      <x:c t="inlineStr" r="AB62"/>
      <x:c t="inlineStr" r="AC62"/>
      <x:c t="inlineStr" r="AD62"/>
      <x:c t="n" r="AE62">
        <x:v>9</x:v>
      </x:c>
      <x:c t="n" r="AF62">
        <x:v>13</x:v>
      </x:c>
      <x:c t="n" r="AG62">
        <x:v>9</x:v>
      </x:c>
      <x:c t="inlineStr" r="AH62"/>
      <x:c t="inlineStr" r="AI62"/>
      <x:c t="inlineStr" r="AJ62"/>
      <x:c t="inlineStr" r="AK62"/>
      <x:c t="inlineStr" r="AL62"/>
      <x:c t="inlineStr" r="AM62"/>
      <x:c t="inlineStr" r="AN62"/>
      <x:c t="n" r="AO62">
        <x:v>1</x:v>
      </x:c>
      <x:c t="n" r="AP62">
        <x:v>3</x:v>
      </x:c>
      <x:c t="n" r="AQ62">
        <x:v>1702</x:v>
      </x:c>
      <x:c t="inlineStr" r="AR62"/>
      <x:c t="inlineStr" r="AS62"/>
      <x:c t="inlineStr" r="AT62"/>
      <x:c t="n" r="AU62">
        <x:v>46056</x:v>
      </x:c>
      <x:c t="inlineStr" r="AV62"/>
      <x:c t="inlineStr" r="AW62">
        <x:is>
          <x:t>Ipiranga</x:t>
        </x:is>
      </x:c>
      <x:c t="inlineStr" r="AX62">
        <x:is>
          <x:t>text,poster</x:t>
        </x:is>
      </x:c>
      <x:c t="inlineStr" r="AY62">
        <x:is>
          <x:t/>
        </x:is>
      </x:c>
      <x:c t="inlineStr" r="AZ62">
        <x:is>
          <x:t/>
        </x:is>
      </x:c>
      <x:c t="inlineStr" r="BA62">
        <x:is>
          <x:t/>
        </x:is>
      </x:c>
      <x:c t="inlineStr" r="BB62">
        <x:is>
          <x:t>ILLUSTRATION</x:t>
        </x:is>
      </x:c>
      <x:c t="inlineStr" r="BC62">
        <x:is>
          <x:t>advertising</x:t>
        </x:is>
      </x:c>
      <x:c r="BD62">
        <x:f>HYPERLINK("https://pbs.twimg.com/media/HQ1adAlWcAAQTeF.jpg")</x:f>
      </x:c>
      <x:c t="inlineStr" r="BE62">
        <x:is>
          <x:t/>
        </x:is>
      </x:c>
      <x:c t="inlineStr" r="BF62">
        <x:is>
          <x:t>Não</x:t>
        </x:is>
      </x:c>
      <x:c t="inlineStr" r="BG62"/>
      <x:c t="inlineStr" r="BH62">
        <x:is>
          <x:t/>
        </x:is>
      </x:c>
      <x:c t="inlineStr" r="BI62">
        <x:is>
          <x:t>Promoção</x:t>
        </x:is>
      </x:c>
      <x:c t="inlineStr" r="BJ62">
        <x:is>
          <x:t>Ao resgatar seus ingressos de gramado pelo app KMV, você ainda ganha R$ 100 em vale-combustível</x:t>
        </x:is>
      </x:c>
      <x:c t="inlineStr" r="BK62">
        <x:is>
          <x:t>Campanha: Parada Completa,Ipiranga,App KMV,Rock In Rio</x:t>
        </x:is>
      </x:c>
      <x:c t="inlineStr" r="BL62"/>
      <x:c t="inlineStr" r="BM62"/>
      <x:c t="inlineStr" r="BN62"/>
      <x:c t="inlineStr" r="BO62"/>
      <x:c t="inlineStr" r="BP62"/>
      <x:c t="inlineStr" r="BQ62"/>
      <x:c t="inlineStr" r="BR62"/>
      <x:c t="inlineStr" r="BS62"/>
      <x:c t="inlineStr" r="BT62"/>
      <x:c t="inlineStr" r="BU62"/>
      <x:c t="inlineStr" r="BV62"/>
      <x:c t="inlineStr" r="BW62"/>
      <x:c t="inlineStr" r="BX62"/>
      <x:c t="inlineStr" r="BY62">
        <x:is>
          <x:t>Campanha: Parada Completa</x:t>
        </x:is>
      </x:c>
      <x:c t="inlineStr" r="BZ62">
        <x:is>
          <x:t>Ipiranga</x:t>
        </x:is>
      </x:c>
      <x:c t="inlineStr" r="CA62"/>
      <x:c t="inlineStr" r="CB62"/>
      <x:c t="inlineStr" r="CC62"/>
      <x:c t="inlineStr" r="CD62">
        <x:is>
          <x:t>App KMV</x:t>
        </x:is>
      </x:c>
      <x:c t="inlineStr" r="CE62">
        <x:is>
          <x:t>Rock In Rio</x:t>
        </x:is>
      </x:c>
      <x:c t="inlineStr" r="CF62"/>
    </x:row>
    <x:row r="63">
      <x:c t="n" r="A63">
        <x:v>727240343</x:v>
      </x:c>
      <x:c t="inlineStr" r="B63">
        <x:is>
          <x:t>28.08.2026</x:t>
        </x:is>
      </x:c>
      <x:c t="inlineStr" r="C63">
        <x:is>
          <x:t>17:01</x:t>
        </x:is>
      </x:c>
      <x:c t="inlineStr" r="D63">
        <x:is>
          <x:t>28.08.2026 17:05</x:t>
        </x:is>
      </x:c>
      <x:c t="inlineStr" r="E63">
        <x:is>
          <x:t/>
        </x:is>
      </x:c>
      <x:c t="str" r="F63">
        <x:v>🔥 Skeleton Clique, a contagem regressiva já começou!
🎟️ Resgate seu ingresso de gramado pelo app KMV usando pontos + dinheiro e ainda ganhe R$ 100 em vale-combustível. 
Depois, é só fazer uma Parada Completa no Posto Ipiranga e seguir para o festival. 
#Ipiranga #KMV #RockinRio2026</x:v>
      </x:c>
      <x:c t="inlineStr" r="G63">
        <x:is>
          <x:t/>
        </x:is>
      </x:c>
      <x:c t="inlineStr" r="H63"/>
      <x:c t="inlineStr" r="I63">
        <x:is>
          <x:t>Postar</x:t>
        </x:is>
      </x:c>
      <x:c t="inlineStr" r="J63">
        <x:is>
          <x:t>Imagem,Texto</x:t>
        </x:is>
      </x:c>
      <x:c t="inlineStr" r="K63"/>
      <x:c r="L63">
        <x:f>HYPERLINK("https://x.com/spookycliquebr/status/2093428835647725896")</x:f>
      </x:c>
      <x:c t="inlineStr" r="M63">
        <x:is>
          <x:t>Negativo</x:t>
        </x:is>
      </x:c>
      <x:c t="inlineStr" r="N63">
        <x:is>
          <x:t>spooky clique Brasil</x:t>
        </x:is>
      </x:c>
      <x:c t="inlineStr" r="O63">
        <x:is>
          <x:t>spookycliquebr</x:t>
        </x:is>
      </x:c>
      <x:c r="P63">
        <x:f>HYPERLINK("http://x.com/spookycliquebr")</x:f>
      </x:c>
      <x:c t="n" r="Q63">
        <x:v>31692</x:v>
      </x:c>
      <x:c t="inlineStr" r="R63"/>
      <x:c t="inlineStr" r="S63"/>
      <x:c t="inlineStr" r="T63">
        <x:is>
          <x:t>x.com</x:t>
        </x:is>
      </x:c>
      <x:c t="inlineStr" r="U63"/>
      <x:c t="inlineStr" r="V63"/>
      <x:c t="inlineStr" r="W63"/>
      <x:c t="inlineStr" r="X63"/>
      <x:c t="inlineStr" r="Y63">
        <x:is>
          <x:t>Rede social</x:t>
        </x:is>
      </x:c>
      <x:c t="inlineStr" r="Z63">
        <x:is>
          <x:t>Português</x:t>
        </x:is>
      </x:c>
      <x:c t="inlineStr" r="AA63">
        <x:is>
          <x:t>Brasil</x:t>
        </x:is>
      </x:c>
      <x:c t="inlineStr" r="AB63"/>
      <x:c t="inlineStr" r="AC63"/>
      <x:c t="inlineStr" r="AD63"/>
      <x:c t="n" r="AE63">
        <x:v>12</x:v>
      </x:c>
      <x:c t="n" r="AF63">
        <x:v>13</x:v>
      </x:c>
      <x:c t="n" r="AG63">
        <x:v>12</x:v>
      </x:c>
      <x:c t="inlineStr" r="AH63"/>
      <x:c t="inlineStr" r="AI63"/>
      <x:c t="inlineStr" r="AJ63"/>
      <x:c t="inlineStr" r="AK63"/>
      <x:c t="inlineStr" r="AL63"/>
      <x:c t="inlineStr" r="AM63"/>
      <x:c t="inlineStr" r="AN63"/>
      <x:c t="n" r="AO63">
        <x:v>1</x:v>
      </x:c>
      <x:c t="n" r="AP63">
        <x:v>0</x:v>
      </x:c>
      <x:c t="n" r="AQ63">
        <x:v>2060</x:v>
      </x:c>
      <x:c t="inlineStr" r="AR63"/>
      <x:c t="inlineStr" r="AS63"/>
      <x:c t="inlineStr" r="AT63"/>
      <x:c t="n" r="AU63">
        <x:v>31692</x:v>
      </x:c>
      <x:c t="inlineStr" r="AV63"/>
      <x:c t="inlineStr" r="AW63">
        <x:is>
          <x:t>Ipiranga</x:t>
        </x:is>
      </x:c>
      <x:c t="inlineStr" r="AX63">
        <x:is>
          <x:t>text,poster</x:t>
        </x:is>
      </x:c>
      <x:c t="inlineStr" r="AY63">
        <x:is>
          <x:t/>
        </x:is>
      </x:c>
      <x:c t="inlineStr" r="AZ63">
        <x:is>
          <x:t>man</x:t>
        </x:is>
      </x:c>
      <x:c t="inlineStr" r="BA63">
        <x:is>
          <x:t/>
        </x:is>
      </x:c>
      <x:c t="inlineStr" r="BB63">
        <x:is>
          <x:t>ILLUSTRATION</x:t>
        </x:is>
      </x:c>
      <x:c t="inlineStr" r="BC63">
        <x:is>
          <x:t>advertising</x:t>
        </x:is>
      </x:c>
      <x:c r="BD63">
        <x:f>HYPERLINK("https://pbs.twimg.com/media/HQ1abctXMAAsgLk.jpg")</x:f>
      </x:c>
      <x:c t="inlineStr" r="BE63">
        <x:is>
          <x:t/>
        </x:is>
      </x:c>
      <x:c t="inlineStr" r="BF63">
        <x:is>
          <x:t>Não</x:t>
        </x:is>
      </x:c>
      <x:c t="inlineStr" r="BG63"/>
      <x:c t="inlineStr" r="BH63">
        <x:is>
          <x:t/>
        </x:is>
      </x:c>
      <x:c t="inlineStr" r="BI63">
        <x:is>
          <x:t>Promoção</x:t>
        </x:is>
      </x:c>
      <x:c t="inlineStr" r="BJ63"/>
      <x:c t="inlineStr" r="BK63">
        <x:is>
          <x:t>Campanha: Parada Completa,Ipiranga,App KMV,Rock In Rio</x:t>
        </x:is>
      </x:c>
      <x:c t="inlineStr" r="BL63"/>
      <x:c t="inlineStr" r="BM63"/>
      <x:c t="inlineStr" r="BN63"/>
      <x:c t="inlineStr" r="BO63"/>
      <x:c t="inlineStr" r="BP63"/>
      <x:c t="inlineStr" r="BQ63"/>
      <x:c t="inlineStr" r="BR63"/>
      <x:c t="inlineStr" r="BS63"/>
      <x:c t="inlineStr" r="BT63"/>
      <x:c t="inlineStr" r="BU63"/>
      <x:c t="inlineStr" r="BV63"/>
      <x:c t="inlineStr" r="BW63"/>
      <x:c t="inlineStr" r="BX63"/>
      <x:c t="inlineStr" r="BY63">
        <x:is>
          <x:t>Campanha: Parada Completa</x:t>
        </x:is>
      </x:c>
      <x:c t="inlineStr" r="BZ63">
        <x:is>
          <x:t>Ipiranga</x:t>
        </x:is>
      </x:c>
      <x:c t="inlineStr" r="CA63"/>
      <x:c t="inlineStr" r="CB63"/>
      <x:c t="inlineStr" r="CC63"/>
      <x:c t="inlineStr" r="CD63">
        <x:is>
          <x:t>App KMV</x:t>
        </x:is>
      </x:c>
      <x:c t="inlineStr" r="CE63">
        <x:is>
          <x:t>Rock In Rio</x:t>
        </x:is>
      </x:c>
      <x:c t="inlineStr" r="CF63"/>
    </x:row>
    <x:row r="64">
      <x:c t="n" r="A64">
        <x:v>821817623</x:v>
      </x:c>
      <x:c t="inlineStr" r="B64">
        <x:is>
          <x:t>28.08.2026</x:t>
        </x:is>
      </x:c>
      <x:c t="inlineStr" r="C64">
        <x:is>
          <x:t>17:00</x:t>
        </x:is>
      </x:c>
      <x:c t="inlineStr" r="D64">
        <x:is>
          <x:t>28.08.2026 17:03</x:t>
        </x:is>
      </x:c>
      <x:c t="inlineStr" r="E64">
        <x:is>
          <x:t/>
        </x:is>
      </x:c>
      <x:c t="str" r="F64">
        <x:v>O palco do Rock In Rio Brasil 2026 é dela. O ingresso pode ser seu.
🎟️ Resgate seu ingresso de gramado pelo app KMV usando pontos + dinheiro e ainda ganhe R$ 100 em vale-combustível.
#Ipiranga #KMV #RockinRio2026</x:v>
      </x:c>
      <x:c t="inlineStr" r="G64">
        <x:is>
          <x:t/>
        </x:is>
      </x:c>
      <x:c t="inlineStr" r="H64"/>
      <x:c t="inlineStr" r="I64">
        <x:is>
          <x:t>Postar</x:t>
        </x:is>
      </x:c>
      <x:c t="inlineStr" r="J64">
        <x:is>
          <x:t>Imagem,Texto</x:t>
        </x:is>
      </x:c>
      <x:c t="inlineStr" r="K64"/>
      <x:c r="L64">
        <x:f>HYPERLINK("https://x.com/missluisasonza/status/2093428516981268808")</x:f>
      </x:c>
      <x:c t="inlineStr" r="M64">
        <x:is>
          <x:t>Negativo</x:t>
        </x:is>
      </x:c>
      <x:c t="inlineStr" r="N64">
        <x:is>
          <x:t>MLS</x:t>
        </x:is>
      </x:c>
      <x:c t="inlineStr" r="O64">
        <x:is>
          <x:t>missluisasonza</x:t>
        </x:is>
      </x:c>
      <x:c r="P64">
        <x:f>HYPERLINK("http://x.com/missluisasonza")</x:f>
      </x:c>
      <x:c t="n" r="Q64">
        <x:v>766</x:v>
      </x:c>
      <x:c t="inlineStr" r="R64"/>
      <x:c t="inlineStr" r="S64"/>
      <x:c t="inlineStr" r="T64">
        <x:is>
          <x:t>x.com</x:t>
        </x:is>
      </x:c>
      <x:c t="inlineStr" r="U64"/>
      <x:c t="inlineStr" r="V64"/>
      <x:c t="inlineStr" r="W64"/>
      <x:c t="inlineStr" r="X64"/>
      <x:c t="inlineStr" r="Y64">
        <x:is>
          <x:t>Rede social</x:t>
        </x:is>
      </x:c>
      <x:c t="inlineStr" r="Z64">
        <x:is>
          <x:t>Português</x:t>
        </x:is>
      </x:c>
      <x:c t="inlineStr" r="AA64">
        <x:is>
          <x:t>Brasil</x:t>
        </x:is>
      </x:c>
      <x:c t="inlineStr" r="AB64">
        <x:is>
          <x:t>São Paulo</x:t>
        </x:is>
      </x:c>
      <x:c t="inlineStr" r="AC64"/>
      <x:c t="inlineStr" r="AD64"/>
      <x:c t="n" r="AE64">
        <x:v>7</x:v>
      </x:c>
      <x:c t="n" r="AF64">
        <x:v>8</x:v>
      </x:c>
      <x:c t="n" r="AG64">
        <x:v>7</x:v>
      </x:c>
      <x:c t="inlineStr" r="AH64"/>
      <x:c t="inlineStr" r="AI64"/>
      <x:c t="inlineStr" r="AJ64"/>
      <x:c t="inlineStr" r="AK64"/>
      <x:c t="inlineStr" r="AL64"/>
      <x:c t="inlineStr" r="AM64"/>
      <x:c t="inlineStr" r="AN64"/>
      <x:c t="n" r="AO64">
        <x:v>1</x:v>
      </x:c>
      <x:c t="n" r="AP64">
        <x:v>0</x:v>
      </x:c>
      <x:c t="n" r="AQ64">
        <x:v>190</x:v>
      </x:c>
      <x:c t="inlineStr" r="AR64"/>
      <x:c t="inlineStr" r="AS64"/>
      <x:c t="inlineStr" r="AT64"/>
      <x:c t="n" r="AU64">
        <x:v>766</x:v>
      </x:c>
      <x:c t="inlineStr" r="AV64"/>
      <x:c t="inlineStr" r="AW64">
        <x:is>
          <x:t>Ipiranga</x:t>
        </x:is>
      </x:c>
      <x:c t="inlineStr" r="AX64">
        <x:is>
          <x:t>text,palm tree,plant,tree,poster</x:t>
        </x:is>
      </x:c>
      <x:c t="inlineStr" r="AY64">
        <x:is>
          <x:t>outdoor</x:t>
        </x:is>
      </x:c>
      <x:c t="inlineStr" r="AZ64">
        <x:is>
          <x:t/>
        </x:is>
      </x:c>
      <x:c t="inlineStr" r="BA64">
        <x:is>
          <x:t/>
        </x:is>
      </x:c>
      <x:c t="inlineStr" r="BB64">
        <x:is>
          <x:t>ILLUSTRATION</x:t>
        </x:is>
      </x:c>
      <x:c t="inlineStr" r="BC64">
        <x:is>
          <x:t>advertising</x:t>
        </x:is>
      </x:c>
      <x:c r="BD64">
        <x:f>HYPERLINK("https://pbs.twimg.com/media/HQ1aIpwWwAA3zml.jpg")</x:f>
      </x:c>
      <x:c t="inlineStr" r="BE64">
        <x:is>
          <x:t/>
        </x:is>
      </x:c>
      <x:c t="inlineStr" r="BF64">
        <x:is>
          <x:t>Não</x:t>
        </x:is>
      </x:c>
      <x:c t="inlineStr" r="BG64"/>
      <x:c t="inlineStr" r="BH64">
        <x:is>
          <x:t/>
        </x:is>
      </x:c>
      <x:c t="inlineStr" r="BI64">
        <x:is>
          <x:t/>
        </x:is>
      </x:c>
      <x:c t="inlineStr" r="BJ64">
        <x:is>
          <x:t>Ao resgatar seus ingressos de gramado pelo app KMV, você ainda ganha R$ 100 em vale-combustível</x:t>
        </x:is>
      </x:c>
      <x:c t="inlineStr" r="BK64">
        <x:is>
          <x:t>Ipiranga,App KMV,Rock In Rio</x:t>
        </x:is>
      </x:c>
      <x:c t="inlineStr" r="BL64"/>
      <x:c t="inlineStr" r="BM64"/>
      <x:c t="inlineStr" r="BN64"/>
      <x:c t="inlineStr" r="BO64"/>
      <x:c t="inlineStr" r="BP64"/>
      <x:c t="inlineStr" r="BQ64"/>
      <x:c t="inlineStr" r="BR64"/>
      <x:c t="inlineStr" r="BS64"/>
      <x:c t="inlineStr" r="BT64"/>
      <x:c t="inlineStr" r="BU64"/>
      <x:c t="inlineStr" r="BV64"/>
      <x:c t="inlineStr" r="BW64"/>
      <x:c t="inlineStr" r="BX64"/>
      <x:c t="inlineStr" r="BY64"/>
      <x:c t="inlineStr" r="BZ64">
        <x:is>
          <x:t>Ipiranga</x:t>
        </x:is>
      </x:c>
      <x:c t="inlineStr" r="CA64"/>
      <x:c t="inlineStr" r="CB64"/>
      <x:c t="inlineStr" r="CC64"/>
      <x:c t="inlineStr" r="CD64">
        <x:is>
          <x:t>App KMV</x:t>
        </x:is>
      </x:c>
      <x:c t="inlineStr" r="CE64">
        <x:is>
          <x:t>Rock In Rio</x:t>
        </x:is>
      </x:c>
      <x:c t="inlineStr" r="CF64"/>
    </x:row>
    <x:row r="65">
      <x:c t="n" r="A65">
        <x:v>1900253411</x:v>
      </x:c>
      <x:c t="inlineStr" r="B65">
        <x:is>
          <x:t>28.08.2026</x:t>
        </x:is>
      </x:c>
      <x:c t="inlineStr" r="C65">
        <x:is>
          <x:t>17:00</x:t>
        </x:is>
      </x:c>
      <x:c t="inlineStr" r="D65">
        <x:is>
          <x:t>28.08.2026 23:26</x:t>
        </x:is>
      </x:c>
      <x:c t="inlineStr" r="E65">
        <x:is>
          <x:t/>
        </x:is>
      </x:c>
      <x:c t="str" r="F65">
        <x:v>OI, SONZERS! Resgate seu ingresso de gramado pelo app KMV usando seus pontos + dinheiro e ainda ganhe R$ 100 em vale-combustivel.
Garanta o ingresso no app KMV e faça uma Parada Completa no Posto Ipiranga: abasteça com Ipimax, passe na AmPm ou no Jet Oil.
Depois, é só se preparar pra aproveitar o festival. 🚗🎶 #Ipiranga #KMV #RockinRio2026 @ipiranga (LINK NA BIO)</x:v>
      </x:c>
      <x:c t="inlineStr" r="G65">
        <x:is>
          <x:t/>
        </x:is>
      </x:c>
      <x:c t="inlineStr" r="H65"/>
      <x:c t="inlineStr" r="I65">
        <x:is>
          <x:t>Postar</x:t>
        </x:is>
      </x:c>
      <x:c t="inlineStr" r="J65">
        <x:is>
          <x:t>Texto,Álbum,Imagem</x:t>
        </x:is>
      </x:c>
      <x:c t="inlineStr" r="K65"/>
      <x:c r="L65">
        <x:f>HYPERLINK("https://www.instagram.com/p/DcmK6QgFsuf/")</x:f>
      </x:c>
      <x:c t="inlineStr" r="M65">
        <x:is>
          <x:t>Negativo</x:t>
        </x:is>
      </x:c>
      <x:c t="inlineStr" r="N65">
        <x:is>
          <x:t>Infos Luísa Sonza</x:t>
        </x:is>
      </x:c>
      <x:c t="inlineStr" r="O65">
        <x:is>
          <x:t>infosluisasonza</x:t>
        </x:is>
      </x:c>
      <x:c r="P65">
        <x:f>HYPERLINK("http://instagram.com/infosluisasonza")</x:f>
      </x:c>
      <x:c t="n" r="Q65">
        <x:v>41048</x:v>
      </x:c>
      <x:c t="inlineStr" r="R65"/>
      <x:c t="inlineStr" r="S65"/>
      <x:c t="inlineStr" r="T65">
        <x:is>
          <x:t>instagram.com</x:t>
        </x:is>
      </x:c>
      <x:c t="inlineStr" r="U65">
        <x:is>
          <x:t>Infos Luísa Sonza</x:t>
        </x:is>
      </x:c>
      <x:c r="V65">
        <x:f>HYPERLINK("http://instagram.com/infosluisasonza")</x:f>
      </x:c>
      <x:c t="n" r="W65">
        <x:v>41048</x:v>
      </x:c>
      <x:c t="inlineStr" r="X65"/>
      <x:c t="inlineStr" r="Y65">
        <x:is>
          <x:t>Rede social</x:t>
        </x:is>
      </x:c>
      <x:c t="inlineStr" r="Z65">
        <x:is>
          <x:t>Português</x:t>
        </x:is>
      </x:c>
      <x:c t="inlineStr" r="AA65"/>
      <x:c t="inlineStr" r="AB65"/>
      <x:c t="inlineStr" r="AC65"/>
      <x:c t="inlineStr" r="AD65"/>
      <x:c t="n" r="AE65">
        <x:v>3</x:v>
      </x:c>
      <x:c t="n" r="AF65">
        <x:v>3</x:v>
      </x:c>
      <x:c t="n" r="AG65">
        <x:v>3</x:v>
      </x:c>
      <x:c t="inlineStr" r="AH65"/>
      <x:c t="inlineStr" r="AI65"/>
      <x:c t="inlineStr" r="AJ65"/>
      <x:c t="inlineStr" r="AK65"/>
      <x:c t="inlineStr" r="AL65"/>
      <x:c t="inlineStr" r="AM65"/>
      <x:c t="inlineStr" r="AN65"/>
      <x:c t="n" r="AO65">
        <x:v>0</x:v>
      </x:c>
      <x:c t="inlineStr" r="AP65"/>
      <x:c t="inlineStr" r="AQ65"/>
      <x:c t="inlineStr" r="AR65"/>
      <x:c t="inlineStr" r="AS65"/>
      <x:c t="inlineStr" r="AT65"/>
      <x:c t="n" r="AU65">
        <x:v>41048</x:v>
      </x:c>
      <x:c t="inlineStr" r="AV65"/>
      <x:c t="inlineStr" r="AW65">
        <x:is>
          <x:t>Ipiranga</x:t>
        </x:is>
      </x:c>
      <x:c t="inlineStr" r="AX65">
        <x:is>
          <x:t>text,palm tree,plant,tree,poster</x:t>
        </x:is>
      </x:c>
      <x:c t="inlineStr" r="AY65">
        <x:is>
          <x:t>outdoor</x:t>
        </x:is>
      </x:c>
      <x:c t="inlineStr" r="AZ65">
        <x:is>
          <x:t/>
        </x:is>
      </x:c>
      <x:c t="inlineStr" r="BA65">
        <x:is>
          <x:t/>
        </x:is>
      </x:c>
      <x:c t="inlineStr" r="BB65">
        <x:is>
          <x:t>ILLUSTRATION</x:t>
        </x:is>
      </x:c>
      <x:c t="inlineStr" r="BC65">
        <x:is>
          <x:t>advertising</x:t>
        </x:is>
      </x:c>
      <x:c t="inlineStr" r="BD65">
        <x:is>
          <x:t>https://scontent-sjc3-1.cdninstagram.com/v/t51.82787-15/787306454_18334757194286174_4575577562148681961_n.jpg?stp=dst-jpg_e35_tt6&amp;_nc_cat=106&amp;ig_cache_key=Mzk3Mzg5OTU1NjcwNjc1Nzk3MQ%3D%3D.3-ccb7-5&amp;ccb=7-5&amp;_nc_sid=58cdad&amp;efg=eyJ2ZW5jb2RlX3RhZyI6IkNBUk9VU0VMX0lURU0ueHBpZHMuMTA4MC5zZHIucmVndWxhcl9waG90by5DMyJ9&amp;_nc_ohc=XukXYHgAIDEQ7kNvwGEpDQJ&amp;_nc_oc=AdoU5TFlowUZroIj-pT4zuRAhu8o-q3Ips990TegzoqrhSMUhgElCy6CZvQAVzh_HZc&amp;_nc_zt=23&amp;_nc_ht=scontent-sjc3-1.cdninstagram.com&amp;_nc_gid=YqJLMpkVqm0ohXOCszAXvA&amp;_nc_ss=70689&amp;oh=00_AQK_4jI2f-M0dThyIY0vbSEMzTi669EWm8vBQO3x0F9rEg&amp;oe=6A982FFD</x:t>
        </x:is>
      </x:c>
      <x:c t="inlineStr" r="BE65">
        <x:is>
          <x:t/>
        </x:is>
      </x:c>
      <x:c t="inlineStr" r="BF65">
        <x:is>
          <x:t>Não</x:t>
        </x:is>
      </x:c>
      <x:c t="inlineStr" r="BG65"/>
      <x:c t="inlineStr" r="BH65">
        <x:is>
          <x:t/>
        </x:is>
      </x:c>
      <x:c t="inlineStr" r="BI65">
        <x:is>
          <x:t>Promoção</x:t>
        </x:is>
      </x:c>
      <x:c t="inlineStr" r="BJ65"/>
      <x:c t="inlineStr" r="BK65">
        <x:is>
          <x:t>Franquia - Jet Oil,Franquia - AmPm,Ipimax,Campanha: Parada Completa,Ipiranga,App KMV,Rock In Rio</x:t>
        </x:is>
      </x:c>
      <x:c t="inlineStr" r="BL65"/>
      <x:c t="inlineStr" r="BM65"/>
      <x:c t="inlineStr" r="BN65"/>
      <x:c t="inlineStr" r="BO65"/>
      <x:c t="inlineStr" r="BP65"/>
      <x:c t="inlineStr" r="BQ65"/>
      <x:c t="inlineStr" r="BR65"/>
      <x:c t="inlineStr" r="BS65"/>
      <x:c t="inlineStr" r="BT65"/>
      <x:c t="inlineStr" r="BU65"/>
      <x:c t="inlineStr" r="BV65">
        <x:is>
          <x:t>Franquia - AmPm</x:t>
        </x:is>
      </x:c>
      <x:c t="inlineStr" r="BW65">
        <x:is>
          <x:t>Ipimax</x:t>
        </x:is>
      </x:c>
      <x:c t="inlineStr" r="BX65">
        <x:is>
          <x:t>Franquia - Jet Oil</x:t>
        </x:is>
      </x:c>
      <x:c t="inlineStr" r="BY65">
        <x:is>
          <x:t>Campanha: Parada Completa</x:t>
        </x:is>
      </x:c>
      <x:c t="inlineStr" r="BZ65">
        <x:is>
          <x:t>Ipiranga</x:t>
        </x:is>
      </x:c>
      <x:c t="inlineStr" r="CA65"/>
      <x:c t="inlineStr" r="CB65"/>
      <x:c t="inlineStr" r="CC65"/>
      <x:c t="inlineStr" r="CD65">
        <x:is>
          <x:t>App KMV</x:t>
        </x:is>
      </x:c>
      <x:c t="inlineStr" r="CE65">
        <x:is>
          <x:t>Rock In Rio</x:t>
        </x:is>
      </x:c>
      <x:c t="inlineStr" r="CF65"/>
    </x:row>
    <x:row r="66">
      <x:c t="n" r="A66">
        <x:v>794998487</x:v>
      </x:c>
      <x:c t="inlineStr" r="B66">
        <x:is>
          <x:t>28.08.2026</x:t>
        </x:is>
      </x:c>
      <x:c t="inlineStr" r="C66">
        <x:is>
          <x:t>14:00</x:t>
        </x:is>
      </x:c>
      <x:c t="inlineStr" r="D66">
        <x:is>
          <x:t>28.08.2026 14:18</x:t>
        </x:is>
      </x:c>
      <x:c t="inlineStr" r="E66">
        <x:is>
          <x:t>DICAS ESSENCIAIS PARA O ROCK IN RIO 2026 .</x:t>
        </x:is>
      </x:c>
      <x:c t="str" r="F66">
        <x:v>🎸10 DICAS ESSENCIAIS PARA O ROCK IN RIO 2026 - lista de Brindes ⬇️
Brindes do Rock in Rio 2026
C&amp;A — Mini câmera, leque e pin
CIF — Óculos e pin
Coca-Cola — Mini CD NFC
DHL — Mini câmera
Google Gemini — Foto
iFood — Corações e mini câmera
Ipiranga — Pochete e leque
Itaú — Copo, tirante e capa de óculos
KitKat — Break Charms personalizáveis e passes para ativações (LATAM e Itaú)
LATAM — Necessaire
Nissin — Bolsa
Philco — Caixa de som, bolsa e pin
Prevent Senior — Mini ventilador portátil e squeeze
Prudential — Carteira de mão
Schweppes — Porta-copo, shoulder bag e bucket hat
Tic Tac — Viseira, jaqueta corta-vento, bucket hat e pins
TIM — Ventosa para celular, cordinha de celular, shoulder bag e pulseiras colecionáveis
Vale — Necessaire
Venancio — Charm de pelúcia
Volkswagen (VW) — Caixa de som e pelúcia
Aproveitem muitoooo 
Tem mais dicas ? Deixa aí nos comentários 
#riodejaneiro #rockinrio #rockinrio2026</x:v>
      </x:c>
      <x:c t="str" r="G66">
        <x:v>10 dicas que eu gostaria que tivessem me
contado antes de ir para o Rock in Rio.
Primeiro, chegar no horário de abertura
assim para aproveitar todo o espaço,
conhecer os stands, andar nos brinquedos
e tirar bastante fotos. Tem gente que
fala que não vale a pena chegar tão
cedo, mas eu acho que pelo preço do
ingresso a gente tem que aproveitar cada
segundo. Os portões abrem às 14 horas,
então se você não quer pegar grade,
chegar a partir desse horário está
ótimo. Dois, o melhor meio de transporte
para ir e voltar é o BRT, não pega
trânsito e te deixa na porta. Três, todo
mundo fala, mas é melhor reforçar, vá
com roupas e sapatos confortáveis. São
muitas horas de festival, não use
sapatos muito novos e nem velhos demais
para não acontecer igual aconteceu
comigo. Leve lanches e snacks e
garrafinha transparente para encher de
água, mas também separe uma graninha
para comer lá dentro. Em setembro o
clima do Rio é instável, então olhe a
previsão do tempo antes porque pode ter
uma onda de calor ou chuva, esteja
preparado para todas as situações. Leve
carregador portátil para não depender só
dos pontos de carregamento, é tudo muito
lotado. Selecione os shows que você quer
ver e qual palco. Organize o horário
para chegar com antecedência e pegar um
bom lugar. Dica, entre pelas laterais,
sempre é a melhor opção. Sobre brindes,
sinceramente, na minha opinião, não vale
a pena ficar horas na fila de várias
ativações. Tem brindes que são
distribuídos no gramado, mas na
descrição deixei uma lista de ativações
para você selecionar as que você quer
participar. E uma coisa que quase
ninguém fala é que depois do show
principal não acabou, tem o after com
palco de música eletrônica que vai até
3:00 da manhã. E para finalizar, um dos
momentos mais mágicos no festival é a
hora dos fogos, que acontece antes do
último show no palco mundo, não perca.
Quer mais dicas? Deixa aí nos
comentários para a gente se ajudar.</x:v>
      </x:c>
      <x:c t="inlineStr" r="H66">
        <x:is>
          <x:t>Português</x:t>
        </x:is>
      </x:c>
      <x:c t="inlineStr" r="I66">
        <x:is>
          <x:t>Postar</x:t>
        </x:is>
      </x:c>
      <x:c t="inlineStr" r="J66">
        <x:is>
          <x:t>Texto,Vídeo,Legendas</x:t>
        </x:is>
      </x:c>
      <x:c t="inlineStr" r="K66"/>
      <x:c r="L66">
        <x:f>HYPERLINK("https://www.youtube.com/watch?v=eVetsM9pA0Q")</x:f>
      </x:c>
      <x:c t="inlineStr" r="M66">
        <x:is>
          <x:t>Negativo</x:t>
        </x:is>
      </x:c>
      <x:c t="inlineStr" r="N66">
        <x:is>
          <x:t>Cariocas De férias</x:t>
        </x:is>
      </x:c>
      <x:c t="inlineStr" r="O66">
        <x:is>
          <x:t>cariocasdeferias</x:t>
        </x:is>
      </x:c>
      <x:c r="P66">
        <x:f>HYPERLINK("https://www.youtube.com/channel/UCLAktMg5kE0SIkewwUfCKyg")</x:f>
      </x:c>
      <x:c t="n" r="Q66">
        <x:v>19300</x:v>
      </x:c>
      <x:c t="inlineStr" r="R66"/>
      <x:c t="inlineStr" r="S66"/>
      <x:c t="inlineStr" r="T66">
        <x:is>
          <x:t>youtube.com</x:t>
        </x:is>
      </x:c>
      <x:c t="inlineStr" r="U66">
        <x:is>
          <x:t>Cariocas De férias</x:t>
        </x:is>
      </x:c>
      <x:c r="V66">
        <x:f>HYPERLINK("https://www.youtube.com/channel/UCLAktMg5kE0SIkewwUfCKyg")</x:f>
      </x:c>
      <x:c t="n" r="W66">
        <x:v>19300</x:v>
      </x:c>
      <x:c t="inlineStr" r="X66"/>
      <x:c t="inlineStr" r="Y66">
        <x:is>
          <x:t>Rede social</x:t>
        </x:is>
      </x:c>
      <x:c t="inlineStr" r="Z66">
        <x:is>
          <x:t>Português</x:t>
        </x:is>
      </x:c>
      <x:c t="inlineStr" r="AA66">
        <x:is>
          <x:t>Brasil</x:t>
        </x:is>
      </x:c>
      <x:c t="inlineStr" r="AB66"/>
      <x:c t="inlineStr" r="AC66"/>
      <x:c t="inlineStr" r="AD66"/>
      <x:c t="n" r="AE66">
        <x:v>24</x:v>
      </x:c>
      <x:c t="n" r="AF66">
        <x:v>24</x:v>
      </x:c>
      <x:c t="n" r="AG66">
        <x:v>24</x:v>
      </x:c>
      <x:c t="inlineStr" r="AH66"/>
      <x:c t="inlineStr" r="AI66"/>
      <x:c t="inlineStr" r="AJ66"/>
      <x:c t="inlineStr" r="AK66"/>
      <x:c t="inlineStr" r="AL66"/>
      <x:c t="inlineStr" r="AM66"/>
      <x:c t="inlineStr" r="AN66"/>
      <x:c t="inlineStr" r="AO66"/>
      <x:c t="inlineStr" r="AP66"/>
      <x:c t="n" r="AQ66">
        <x:v>1181</x:v>
      </x:c>
      <x:c t="inlineStr" r="AR66"/>
      <x:c t="inlineStr" r="AS66"/>
      <x:c t="inlineStr" r="AT66"/>
      <x:c t="n" r="AU66">
        <x:v>19300</x:v>
      </x:c>
      <x:c t="inlineStr" r="AV66"/>
      <x:c t="inlineStr" r="AW66">
        <x:is>
          <x:t/>
        </x:is>
      </x:c>
      <x:c t="inlineStr" r="AX66">
        <x:is>
          <x:t>sunglasses,sky,clothing,hat,tooth</x:t>
        </x:is>
      </x:c>
      <x:c t="inlineStr" r="AY66">
        <x:is>
          <x:t>outdoor</x:t>
        </x:is>
      </x:c>
      <x:c t="inlineStr" r="AZ66">
        <x:is>
          <x:t>woman</x:t>
        </x:is>
      </x:c>
      <x:c t="inlineStr" r="BA66">
        <x:is>
          <x:t/>
        </x:is>
      </x:c>
      <x:c t="inlineStr" r="BB66">
        <x:is>
          <x:t>PHOTO</x:t>
        </x:is>
      </x:c>
      <x:c t="inlineStr" r="BC66"/>
      <x:c r="BD66">
        <x:f>HYPERLINK("https://i.ytimg.com/vi/eVetsM9pA0Q/maxresdefault.jpg")</x:f>
      </x:c>
      <x:c t="inlineStr" r="BE66">
        <x:is>
          <x:t/>
        </x:is>
      </x:c>
      <x:c t="inlineStr" r="BF66">
        <x:is>
          <x:t>Não</x:t>
        </x:is>
      </x:c>
      <x:c t="inlineStr" r="BG66"/>
      <x:c t="inlineStr" r="BH66">
        <x:is>
          <x:t/>
        </x:is>
      </x:c>
      <x:c t="inlineStr" r="BI66">
        <x:is>
          <x:t/>
        </x:is>
      </x:c>
      <x:c t="inlineStr" r="BJ66">
        <x:is>
          <x:t>O Rock in Rio começa semana que vem e por aqui a ansiedade já está ON!</x:t>
        </x:is>
      </x:c>
      <x:c t="inlineStr" r="BK66">
        <x:is>
          <x:t>Ipiranga,Rock In Rio</x:t>
        </x:is>
      </x:c>
      <x:c t="inlineStr" r="BL66"/>
      <x:c t="inlineStr" r="BM66"/>
      <x:c t="inlineStr" r="BN66"/>
      <x:c t="inlineStr" r="BO66"/>
      <x:c t="inlineStr" r="BP66"/>
      <x:c t="inlineStr" r="BQ66"/>
      <x:c t="inlineStr" r="BR66"/>
      <x:c t="inlineStr" r="BS66"/>
      <x:c t="inlineStr" r="BT66"/>
      <x:c t="inlineStr" r="BU66"/>
      <x:c t="inlineStr" r="BV66"/>
      <x:c t="inlineStr" r="BW66"/>
      <x:c t="inlineStr" r="BX66"/>
      <x:c t="inlineStr" r="BY66"/>
      <x:c t="inlineStr" r="BZ66">
        <x:is>
          <x:t>Ipiranga</x:t>
        </x:is>
      </x:c>
      <x:c t="inlineStr" r="CA66"/>
      <x:c t="inlineStr" r="CB66"/>
      <x:c t="inlineStr" r="CC66"/>
      <x:c t="inlineStr" r="CD66"/>
      <x:c t="inlineStr" r="CE66">
        <x:is>
          <x:t>Rock In Rio</x:t>
        </x:is>
      </x:c>
      <x:c t="inlineStr" r="CF66"/>
    </x:row>
    <x:row r="67">
      <x:c t="n" r="A67">
        <x:v>1858960970</x:v>
      </x:c>
      <x:c t="inlineStr" r="B67">
        <x:is>
          <x:t>28.08.2026</x:t>
        </x:is>
      </x:c>
      <x:c t="inlineStr" r="C67">
        <x:is>
          <x:t>12:29</x:t>
        </x:is>
      </x:c>
      <x:c t="inlineStr" r="D67">
        <x:is>
          <x:t>28.08.2026 14:48</x:t>
        </x:is>
      </x:c>
      <x:c t="inlineStr" r="E67">
        <x:is>
          <x:t/>
        </x:is>
      </x:c>
      <x:c t="inlineStr" r="F67">
        <x:is>
          <x:t>🎸10 DICAS ESSENCIAIS PARA O ROCK IN RIO 2026 - lista de Brindes ⬇️ Brindes do Rock in Rio 2026 C&amp;A — Mini câmera, leque e pin CIF — Óculos e pin Coca-Cola — Mini CD NFC DHL — Mini câmera Google Gemini — Foto iFood — Corações e mini câmera Ipiranga — Pochete e leque Itaú — Copo, tirante e capa de óculos KitKat — Break Charms personalizáveis e passes para ativações (LATAM e Itaú) LATAM — Necessaire Nissin — Bolsa Philco — Caixa de som, bolsa e pin Prevent Senior — Mini ventilador portátil e squeeze Prudential — Carteira de mão Schweppes — Porta-copo, shoulder bag e bucket hat Tic Tac — Viseira, jaqueta corta-vento, bucket hat e pins TIM — Ventosa para celular, cordinha de celular, shoulder bag e pulseiras colecionáveis Vale — Necessaire Venancio — Charm de pelúcia Volkswagen (VW) — Caixa de som e pelúcia Aproveitem muitoooo  Tem mais dicas ? Deixa aí nos comentários  #riodejaneiro #rockinrio #rockinrio2026 </x:t>
        </x:is>
      </x:c>
      <x:c t="str" r="G67">
        <x:v>dez dicas que eu gostaria que tivesse me contado
antes de ir para o rock Rio
primeiro
chegar no horário de abertura
sim pra aproveitar todo o espaço
conhecer os estande
agendar os brinquedos e tirar bastante foto
tem gente que fala que não vale a pena chegar tão cedo
mas eu acho que pelo preço do ingresso
a gente tem que aproveitar cada segundo
os portões abrem às quatorze horas
se você não quer pegar grade e chegar a partir desse
horário
dois o melhor meio de transporte pra ir voltar é o BRT
não pega trânsito e te deixa na 3
todo Mundo fala
mas é melhor reforçar
vá com roupas e sapatos confortáveis
são muitas horas de festival
não use sapatos muito novos e nem
velho demais pra não acontecer
igual aconteceu comigo
leve lanches
snacks e garrafinha
transparente para encher de água
mas também separe uma graninha pra comer lá dentro
em setembro o clima do Rio é instável
então olha a previsão do tempo antes
porque pode ter uma onda de calor ou chover
esteja preparado pra todas as situações
leve carregador
portátil
para não depender só dos pontos de carregamento
é tudo muito lotado
selecione os shows que você quer ver e qual o palco
organize o horário pra chegar com antecedência
e pegar um bom lugar dica
entre pelas laterais
sempre a melhor opção
sobre brindes
sinceramente
na minha opinião
não vale a pena ficar horas na fila de várias
tem brindes que são distribuídos no gramado
mas na descrição
eu deixei uma lista de ativações pra você selecionar
as que cê quer participar
e uma coisa que quase ninguém fala
é que depois do show principal
não acabou
tem o After
com palco de música eletrônica
que vai até três da manhã
e pra finalizar
um dos momentos mais mágicos
festival é a hora dos fogos
que acontece antes do último show no palco mundo
não perca
tem mais dicas
deixa aí nos comentários pra gente se ajudar</x:v>
      </x:c>
      <x:c t="inlineStr" r="H67">
        <x:is>
          <x:t>Português</x:t>
        </x:is>
      </x:c>
      <x:c t="inlineStr" r="I67">
        <x:is>
          <x:t>Postar</x:t>
        </x:is>
      </x:c>
      <x:c t="inlineStr" r="J67">
        <x:is>
          <x:t>Vídeo,Texto,Legendas</x:t>
        </x:is>
      </x:c>
      <x:c t="inlineStr" r="K67"/>
      <x:c r="L67">
        <x:f>HYPERLINK("https://www.tiktok.com/@cariocasdeferias/video/7679105035518659861")</x:f>
      </x:c>
      <x:c t="inlineStr" r="M67">
        <x:is>
          <x:t>Negativo</x:t>
        </x:is>
      </x:c>
      <x:c t="inlineStr" r="N67">
        <x:is>
          <x:t>Dayana e Wesley | VIAGENS ✈️</x:t>
        </x:is>
      </x:c>
      <x:c t="inlineStr" r="O67">
        <x:is>
          <x:t>cariocasdeferias</x:t>
        </x:is>
      </x:c>
      <x:c r="P67">
        <x:f>HYPERLINK("https://www.tiktok.com/share/user/6890667509037532161")</x:f>
      </x:c>
      <x:c t="n" r="Q67">
        <x:v>132200</x:v>
      </x:c>
      <x:c t="inlineStr" r="R67">
        <x:is>
          <x:t>Mulher</x:t>
        </x:is>
      </x:c>
      <x:c t="inlineStr" r="S67"/>
      <x:c t="inlineStr" r="T67">
        <x:is>
          <x:t>tiktok.com</x:t>
        </x:is>
      </x:c>
      <x:c t="inlineStr" r="U67">
        <x:is>
          <x:t>Dayana e Wesley | VIAGENS ✈️</x:t>
        </x:is>
      </x:c>
      <x:c r="V67">
        <x:f>HYPERLINK("https://www.tiktok.com/share/user/6890667509037532161")</x:f>
      </x:c>
      <x:c t="n" r="W67">
        <x:v>132200</x:v>
      </x:c>
      <x:c t="inlineStr" r="X67"/>
      <x:c t="inlineStr" r="Y67">
        <x:is>
          <x:t>Rede social</x:t>
        </x:is>
      </x:c>
      <x:c t="inlineStr" r="Z67">
        <x:is>
          <x:t>Português</x:t>
        </x:is>
      </x:c>
      <x:c t="inlineStr" r="AA67">
        <x:is>
          <x:t>Irlanda</x:t>
        </x:is>
      </x:c>
      <x:c t="inlineStr" r="AB67"/>
      <x:c t="inlineStr" r="AC67"/>
      <x:c t="inlineStr" r="AD67"/>
      <x:c t="n" r="AE67">
        <x:v>1767</x:v>
      </x:c>
      <x:c t="n" r="AF67">
        <x:v>1991</x:v>
      </x:c>
      <x:c t="n" r="AG67">
        <x:v>1767</x:v>
      </x:c>
      <x:c t="inlineStr" r="AH67"/>
      <x:c t="inlineStr" r="AI67"/>
      <x:c t="inlineStr" r="AJ67"/>
      <x:c t="inlineStr" r="AK67"/>
      <x:c t="inlineStr" r="AL67"/>
      <x:c t="inlineStr" r="AM67"/>
      <x:c t="inlineStr" r="AN67"/>
      <x:c t="n" r="AO67">
        <x:v>20</x:v>
      </x:c>
      <x:c t="n" r="AP67">
        <x:v>204</x:v>
      </x:c>
      <x:c t="n" r="AQ67">
        <x:v>17900</x:v>
      </x:c>
      <x:c t="inlineStr" r="AR67"/>
      <x:c t="inlineStr" r="AS67"/>
      <x:c t="n" r="AT67">
        <x:v>300</x:v>
      </x:c>
      <x:c t="n" r="AU67">
        <x:v>132200</x:v>
      </x:c>
      <x:c t="inlineStr" r="AV67"/>
      <x:c t="inlineStr" r="AW67">
        <x:is>
          <x:t/>
        </x:is>
      </x:c>
      <x:c t="inlineStr" r="AX67">
        <x:is>
          <x:t>sky,clothing,footwear,plant,fountain,shorts,thigh</x:t>
        </x:is>
      </x:c>
      <x:c t="inlineStr" r="AY67">
        <x:is>
          <x:t>park,outdoor</x:t>
        </x:is>
      </x:c>
      <x:c t="inlineStr" r="AZ67">
        <x:is>
          <x:t>woman</x:t>
        </x:is>
      </x:c>
      <x:c t="inlineStr" r="BA67">
        <x:is>
          <x:t>standing</x:t>
        </x:is>
      </x:c>
      <x:c t="inlineStr" r="BB67">
        <x:is>
          <x:t>PHOTO</x:t>
        </x:is>
      </x:c>
      <x:c t="inlineStr" r="BC67"/>
      <x:c t="inlineStr" r="BD67">
        <x:is>
          <x:t>https://p16-common-sign.tiktokcdn-eu.com/tos-alisg-p-0037/oMYvDfwqDBCqFofE0REqa3EWkBcIr2IgvBRPdA~tplv-tiktokx-origin.image?dr=10395&amp;x-expires=1788109200&amp;x-signature=5Eq1LZ%2F1ud6V1kCb8XIV2Sc%2F5Pg%3D&amp;t=4d5b0474&amp;ps=13740610&amp;shp=81f88b70&amp;shcp=43f4a2f9&amp;idc=no1a</x:t>
        </x:is>
      </x:c>
      <x:c t="inlineStr" r="BE67">
        <x:is>
          <x:t/>
        </x:is>
      </x:c>
      <x:c t="inlineStr" r="BF67">
        <x:is>
          <x:t>Não</x:t>
        </x:is>
      </x:c>
      <x:c t="inlineStr" r="BG67"/>
      <x:c t="inlineStr" r="BH67">
        <x:is>
          <x:t/>
        </x:is>
      </x:c>
      <x:c t="inlineStr" r="BI67">
        <x:is>
          <x:t/>
        </x:is>
      </x:c>
      <x:c t="inlineStr" r="BJ67">
        <x:is>
          <x:t>O Rock in Rio começa semana que vem e por aqui a ansiedade já está ON!</x:t>
        </x:is>
      </x:c>
      <x:c t="inlineStr" r="BK67">
        <x:is>
          <x:t>Ipiranga,Rock In Rio</x:t>
        </x:is>
      </x:c>
      <x:c t="inlineStr" r="BL67"/>
      <x:c t="inlineStr" r="BM67"/>
      <x:c t="inlineStr" r="BN67"/>
      <x:c t="inlineStr" r="BO67"/>
      <x:c t="inlineStr" r="BP67"/>
      <x:c t="inlineStr" r="BQ67"/>
      <x:c t="inlineStr" r="BR67"/>
      <x:c t="inlineStr" r="BS67"/>
      <x:c t="inlineStr" r="BT67"/>
      <x:c t="inlineStr" r="BU67"/>
      <x:c t="inlineStr" r="BV67"/>
      <x:c t="inlineStr" r="BW67"/>
      <x:c t="inlineStr" r="BX67"/>
      <x:c t="inlineStr" r="BY67"/>
      <x:c t="inlineStr" r="BZ67">
        <x:is>
          <x:t>Ipiranga</x:t>
        </x:is>
      </x:c>
      <x:c t="inlineStr" r="CA67"/>
      <x:c t="inlineStr" r="CB67"/>
      <x:c t="inlineStr" r="CC67"/>
      <x:c t="inlineStr" r="CD67"/>
      <x:c t="inlineStr" r="CE67">
        <x:is>
          <x:t>Rock In Rio</x:t>
        </x:is>
      </x:c>
      <x:c t="inlineStr" r="CF67"/>
    </x:row>
    <x:row r="68">
      <x:c t="n" r="A68">
        <x:v>3642879732</x:v>
      </x:c>
      <x:c t="inlineStr" r="B68">
        <x:is>
          <x:t>28.08.2026</x:t>
        </x:is>
      </x:c>
      <x:c t="inlineStr" r="C68">
        <x:is>
          <x:t>12:21</x:t>
        </x:is>
      </x:c>
      <x:c t="inlineStr" r="D68">
        <x:is>
          <x:t>02.09.2026 08:21</x:t>
        </x:is>
      </x:c>
      <x:c t="inlineStr" r="E68">
        <x:is>
          <x:t/>
        </x:is>
      </x:c>
      <x:c t="str" r="F68">
        <x:v>🎸10 DICAS ESSENCIAIS PARA O ROCK IN RIO 2026 - lista de Brindes ⬇️
Brindes do Rock in Rio 2026
C&amp;A — Mini câmera, leque e pin
CIF — Óculos e pin
Coca-Cola — Mini CD NFC
DHL — Mini câmera
Google Gemini — Foto
iFood — Corações e mini câmera
Ipiranga — Pochete e leque
Itaú — Copo, tirante e capa de óculos
KitKat — Break Charms personalizáveis e passes para ativações (LATAM e Itaú)
LATAM — Necessaire
Nissin — Bolsa
Philco — Caixa de som, bolsa e pin
Prevent Senior — Mini ventilador portátil e squeeze
Prudential — Carteira de mão
Schweppes — Porta-copo, shoulder bag e bucket hat
Tic Tac — Viseira, jaqueta corta-vento, bucket hat e pins
TIM — Ventosa para celular, cordinha de celular, shoulder bag e pulseiras colecionáveis
Vale — Necessaire
Venancio — Charm de pelúcia
Volkswagen (VW) — Caixa de som e pelúcia
Aproveitem muitoooo 
Tem mais dicas ? Deixa aí nos comentários 
#riodejaneiro #rockinrio #rockinrio2026</x:v>
      </x:c>
      <x:c t="inlineStr" r="G68">
        <x:is>
          <x:t/>
        </x:is>
      </x:c>
      <x:c t="inlineStr" r="H68"/>
      <x:c t="inlineStr" r="I68">
        <x:is>
          <x:t>Postar</x:t>
        </x:is>
      </x:c>
      <x:c t="inlineStr" r="J68">
        <x:is>
          <x:t>Texto,Vídeo</x:t>
        </x:is>
      </x:c>
      <x:c t="inlineStr" r="K68">
        <x:is>
          <x:t>InstagramReels</x:t>
        </x:is>
      </x:c>
      <x:c r="L68">
        <x:f>HYPERLINK("https://www.instagram.com/p/DclqeUFoAqq/")</x:f>
      </x:c>
      <x:c t="inlineStr" r="M68">
        <x:is>
          <x:t>Negativo</x:t>
        </x:is>
      </x:c>
      <x:c t="inlineStr" r="N68">
        <x:is>
          <x:t>Dayana Soares  &amp; Wesley  | TRAVEL 🛩️ VIAGEM</x:t>
        </x:is>
      </x:c>
      <x:c t="inlineStr" r="O68">
        <x:is>
          <x:t>cariocasdeferias</x:t>
        </x:is>
      </x:c>
      <x:c r="P68">
        <x:f>HYPERLINK("http://instagram.com/cariocasdeferias")</x:f>
      </x:c>
      <x:c t="n" r="Q68">
        <x:v>639563</x:v>
      </x:c>
      <x:c t="inlineStr" r="R68">
        <x:is>
          <x:t>Mulher</x:t>
        </x:is>
      </x:c>
      <x:c t="inlineStr" r="S68"/>
      <x:c t="inlineStr" r="T68">
        <x:is>
          <x:t>instagram.com</x:t>
        </x:is>
      </x:c>
      <x:c t="inlineStr" r="U68">
        <x:is>
          <x:t>Dayana Soares  &amp; Wesley  | TRAVEL 🛩️ VIAGEM</x:t>
        </x:is>
      </x:c>
      <x:c r="V68">
        <x:f>HYPERLINK("http://instagram.com/cariocasdeferias")</x:f>
      </x:c>
      <x:c t="n" r="W68">
        <x:v>639563</x:v>
      </x:c>
      <x:c t="inlineStr" r="X68"/>
      <x:c t="inlineStr" r="Y68">
        <x:is>
          <x:t>Rede social</x:t>
        </x:is>
      </x:c>
      <x:c t="inlineStr" r="Z68">
        <x:is>
          <x:t>Português</x:t>
        </x:is>
      </x:c>
      <x:c t="inlineStr" r="AA68"/>
      <x:c t="inlineStr" r="AB68"/>
      <x:c t="inlineStr" r="AC68"/>
      <x:c t="inlineStr" r="AD68"/>
      <x:c t="n" r="AE68">
        <x:v>6059</x:v>
      </x:c>
      <x:c t="n" r="AF68">
        <x:v>6180</x:v>
      </x:c>
      <x:c t="n" r="AG68">
        <x:v>6059</x:v>
      </x:c>
      <x:c t="inlineStr" r="AH68"/>
      <x:c t="inlineStr" r="AI68"/>
      <x:c t="inlineStr" r="AJ68"/>
      <x:c t="inlineStr" r="AK68"/>
      <x:c t="inlineStr" r="AL68"/>
      <x:c t="inlineStr" r="AM68"/>
      <x:c t="inlineStr" r="AN68"/>
      <x:c t="n" r="AO68">
        <x:v>121</x:v>
      </x:c>
      <x:c t="inlineStr" r="AP68"/>
      <x:c t="n" r="AQ68">
        <x:v>101769</x:v>
      </x:c>
      <x:c t="inlineStr" r="AR68"/>
      <x:c t="inlineStr" r="AS68"/>
      <x:c t="inlineStr" r="AT68"/>
      <x:c t="n" r="AU68">
        <x:v>639563</x:v>
      </x:c>
      <x:c t="inlineStr" r="AV68"/>
      <x:c t="inlineStr" r="AW68">
        <x:is>
          <x:t/>
        </x:is>
      </x:c>
      <x:c t="inlineStr" r="AX68">
        <x:is>
          <x:t>sunglasses,sky,long hair,skin,jewellery,clothing,tooth,finger,hairstyle,necklace,bracelet</x:t>
        </x:is>
      </x:c>
      <x:c t="inlineStr" r="AY68">
        <x:is>
          <x:t>park,outdoor</x:t>
        </x:is>
      </x:c>
      <x:c t="inlineStr" r="AZ68">
        <x:is>
          <x:t>woman</x:t>
        </x:is>
      </x:c>
      <x:c t="inlineStr" r="BA68">
        <x:is>
          <x:t>smile</x:t>
        </x:is>
      </x:c>
      <x:c t="inlineStr" r="BB68">
        <x:is>
          <x:t>PHOTO</x:t>
        </x:is>
      </x:c>
      <x:c t="inlineStr" r="BC68">
        <x:is>
          <x:t>portrait</x:t>
        </x:is>
      </x:c>
      <x:c t="inlineStr" r="BD68">
        <x:is>
          <x:t>https://scontent-ams2-1.cdninstagram.com/v/t51.82787-15/782876254_18103431308337866_8177121125293823309_n.jpg?stp=dst-jpg_e35_p1080x1080_sh2.08_tt6&amp;_nc_cat=105&amp;ig_cache_key=Mzk3Mzc2OTA0NzMzMTMxMDI1MDE4MTAzNDMxMzAyMzM3ODY2.3-ccb7-5&amp;ccb=7-5&amp;_nc_sid=58cdad&amp;efg=eyJ2ZW5jb2RlX3RhZyI6IkNMSVBTLnhwaWRzLjEyMTUuc2RyLnZpZGVvX2RlZmF1bHRfY292ZXJfZnJhbWUuQzMifQ%3D%3D&amp;_nc_ohc=Xc2T0M2lV10Q7kNvwEqQbpL&amp;_nc_oc=AdpCcCHlQLt8k5cTUNOHGFVX6vdiS9Dzd6WOoXzY9-PLyHpF5QqscxjzcBNGzs4VvCl7FP9mz5LIqiB37L4aO64s&amp;_nc_zt=23&amp;_nc_ht=scontent-ams2-1.cdninstagram.com&amp;_nc_gid=pxVx6m3zB8Ypf0Un4HaigQ&amp;_nc_ss=70689&amp;oh=00_AQLPLtaWYwudHSFGuPglEkV6zr6nwID3tQ9cspx1TNSioA&amp;oe=6A9DE815</x:t>
        </x:is>
      </x:c>
      <x:c t="inlineStr" r="BE68">
        <x:is>
          <x:t/>
        </x:is>
      </x:c>
      <x:c t="inlineStr" r="BF68">
        <x:is>
          <x:t>Não</x:t>
        </x:is>
      </x:c>
      <x:c t="inlineStr" r="BG68"/>
      <x:c t="inlineStr" r="BH68">
        <x:is>
          <x:t/>
        </x:is>
      </x:c>
      <x:c t="inlineStr" r="BI68">
        <x:is>
          <x:t/>
        </x:is>
      </x:c>
      <x:c t="inlineStr" r="BJ68"/>
      <x:c t="inlineStr" r="BK68">
        <x:is>
          <x:t>Ipiranga,Rock In Rio</x:t>
        </x:is>
      </x:c>
      <x:c t="inlineStr" r="BL68"/>
      <x:c t="inlineStr" r="BM68"/>
      <x:c t="inlineStr" r="BN68"/>
      <x:c t="inlineStr" r="BO68"/>
      <x:c t="inlineStr" r="BP68"/>
      <x:c t="inlineStr" r="BQ68"/>
      <x:c t="inlineStr" r="BR68"/>
      <x:c t="inlineStr" r="BS68"/>
      <x:c t="inlineStr" r="BT68"/>
      <x:c t="inlineStr" r="BU68"/>
      <x:c t="inlineStr" r="BV68"/>
      <x:c t="inlineStr" r="BW68"/>
      <x:c t="inlineStr" r="BX68"/>
      <x:c t="inlineStr" r="BY68"/>
      <x:c t="inlineStr" r="BZ68">
        <x:is>
          <x:t>Ipiranga</x:t>
        </x:is>
      </x:c>
      <x:c t="inlineStr" r="CA68"/>
      <x:c t="inlineStr" r="CB68"/>
      <x:c t="inlineStr" r="CC68"/>
      <x:c t="inlineStr" r="CD68"/>
      <x:c t="inlineStr" r="CE68">
        <x:is>
          <x:t>Rock In Rio</x:t>
        </x:is>
      </x:c>
      <x:c t="inlineStr" r="CF68"/>
    </x:row>
    <x:row r="69">
      <x:c t="n" r="A69">
        <x:v>3562481227</x:v>
      </x:c>
      <x:c t="inlineStr" r="B69">
        <x:is>
          <x:t>28.08.2026</x:t>
        </x:is>
      </x:c>
      <x:c t="inlineStr" r="C69">
        <x:is>
          <x:t>12:00</x:t>
        </x:is>
      </x:c>
      <x:c t="inlineStr" r="D69">
        <x:is>
          <x:t>28.08.2026 17:13</x:t>
        </x:is>
      </x:c>
      <x:c t="inlineStr" r="E69">
        <x:is>
          <x:t/>
        </x:is>
      </x:c>
      <x:c t="str" r="F69">
        <x:v>+90 marcas na Cidade do Rock, +100 ativações em 7 dias e quase 1 milhão de brindes distribuídos…
A Natura trouxe um stand que reage ao público. A ECCO by LightWire virou show. A Cif resgatou o tênis icônico de 1985. C&amp;A e Ipiranga apostaram no Glambot pra transformar moda em conteúdo pronto pra rede.
Ativação boa não é só estar lá. É virar conteúdo!
#rockinrio #ativações #marketingestrategico</x:v>
      </x:c>
      <x:c t="inlineStr" r="G69">
        <x:is>
          <x:t/>
        </x:is>
      </x:c>
      <x:c t="inlineStr" r="H69"/>
      <x:c t="inlineStr" r="I69">
        <x:is>
          <x:t>Postar</x:t>
        </x:is>
      </x:c>
      <x:c t="inlineStr" r="J69">
        <x:is>
          <x:t>Texto,Álbum,Imagem,Vídeo</x:t>
        </x:is>
      </x:c>
      <x:c t="inlineStr" r="K69"/>
      <x:c r="L69">
        <x:f>HYPERLINK("https://www.instagram.com/p/DclokahHLnI/")</x:f>
      </x:c>
      <x:c t="inlineStr" r="M69">
        <x:is>
          <x:t>Negativo</x:t>
        </x:is>
      </x:c>
      <x:c t="inlineStr" r="N69">
        <x:is>
          <x:t>ON</x:t>
        </x:is>
      </x:c>
      <x:c t="inlineStr" r="O69">
        <x:is>
          <x:t>onbydonna</x:t>
        </x:is>
      </x:c>
      <x:c r="P69">
        <x:f>HYPERLINK("https://www.instagram.com/onbydonna/")</x:f>
      </x:c>
      <x:c t="n" r="Q69">
        <x:v>296</x:v>
      </x:c>
      <x:c t="inlineStr" r="R69"/>
      <x:c t="inlineStr" r="S69"/>
      <x:c t="inlineStr" r="T69">
        <x:is>
          <x:t>instagram.com</x:t>
        </x:is>
      </x:c>
      <x:c t="inlineStr" r="U69">
        <x:is>
          <x:t>ON</x:t>
        </x:is>
      </x:c>
      <x:c r="V69">
        <x:f>HYPERLINK("https://www.instagram.com/onbydonna/")</x:f>
      </x:c>
      <x:c t="n" r="W69">
        <x:v>296</x:v>
      </x:c>
      <x:c t="inlineStr" r="X69"/>
      <x:c t="inlineStr" r="Y69">
        <x:is>
          <x:t>Rede social</x:t>
        </x:is>
      </x:c>
      <x:c t="inlineStr" r="Z69">
        <x:is>
          <x:t>Português</x:t>
        </x:is>
      </x:c>
      <x:c t="inlineStr" r="AA69"/>
      <x:c t="inlineStr" r="AB69"/>
      <x:c t="inlineStr" r="AC69"/>
      <x:c t="inlineStr" r="AD69"/>
      <x:c t="inlineStr" r="AE69"/>
      <x:c t="n" r="AF69">
        <x:v>0</x:v>
      </x:c>
      <x:c t="inlineStr" r="AG69"/>
      <x:c t="inlineStr" r="AH69"/>
      <x:c t="inlineStr" r="AI69"/>
      <x:c t="inlineStr" r="AJ69"/>
      <x:c t="inlineStr" r="AK69"/>
      <x:c t="inlineStr" r="AL69"/>
      <x:c t="inlineStr" r="AM69"/>
      <x:c t="inlineStr" r="AN69"/>
      <x:c t="n" r="AO69">
        <x:v>0</x:v>
      </x:c>
      <x:c t="inlineStr" r="AP69"/>
      <x:c t="inlineStr" r="AQ69"/>
      <x:c t="inlineStr" r="AR69"/>
      <x:c t="inlineStr" r="AS69"/>
      <x:c t="inlineStr" r="AT69"/>
      <x:c t="n" r="AU69">
        <x:v>296</x:v>
      </x:c>
      <x:c t="inlineStr" r="AV69"/>
      <x:c t="inlineStr" r="AW69">
        <x:is>
          <x:t/>
        </x:is>
      </x:c>
      <x:c t="inlineStr" r="AX69">
        <x:is>
          <x:t>sky,text,fountain,plant,sculpture</x:t>
        </x:is>
      </x:c>
      <x:c t="inlineStr" r="AY69">
        <x:is>
          <x:t>outdoor</x:t>
        </x:is>
      </x:c>
      <x:c t="inlineStr" r="AZ69">
        <x:is>
          <x:t/>
        </x:is>
      </x:c>
      <x:c t="inlineStr" r="BA69">
        <x:is>
          <x:t/>
        </x:is>
      </x:c>
      <x:c t="inlineStr" r="BB69">
        <x:is>
          <x:t>ILLUSTRATION</x:t>
        </x:is>
      </x:c>
      <x:c t="inlineStr" r="BC69">
        <x:is>
          <x:t>photo caption</x:t>
        </x:is>
      </x:c>
      <x:c t="inlineStr" r="BD69">
        <x:is>
          <x:t>https://scontent-ams2-1.cdninstagram.com/v/t51.82787-15/786563081_18124574239768307_5331734376935955087_n.jpg?stp=dst-jpg_e35_tt6&amp;_nc_cat=110&amp;ccb=7-5&amp;_nc_sid=18de74&amp;efg=eyJlZmdfdGFnIjoiQ0FST1VTRUxfSVRFTS5iZXN0X2ltYWdlX3VybGdlbi5DMyJ9&amp;_nc_ohc=pQ_1FzytiycQ7kNvwECrSGa&amp;_nc_oc=AdpaZSM5N9xraYrOHmeQAjPlUnhgKimMnE1OLCniwTYwUl0Gkp-cMyxdrLmS-A_PZSM&amp;_nc_zt=23&amp;_nc_ht=scontent-ams2-1.cdninstagram.com&amp;edm=AJ7ooaQEAAAA&amp;_nc_gid=PX0VH48U1eLOigHkPD5QQA&amp;oh=00_AQEaJZrCf84tkmTZL18h0fSBw0EWqfd0p7MlRHn4prRzOg&amp;oe=6A97A564</x:t>
        </x:is>
      </x:c>
      <x:c t="inlineStr" r="BE69">
        <x:is>
          <x:t/>
        </x:is>
      </x:c>
      <x:c t="inlineStr" r="BF69">
        <x:is>
          <x:t>Não</x:t>
        </x:is>
      </x:c>
      <x:c t="inlineStr" r="BG69"/>
      <x:c t="inlineStr" r="BH69">
        <x:is>
          <x:t/>
        </x:is>
      </x:c>
      <x:c t="inlineStr" r="BI69">
        <x:is>
          <x:t>Promoção</x:t>
        </x:is>
      </x:c>
      <x:c t="inlineStr" r="BJ69"/>
      <x:c t="inlineStr" r="BK69">
        <x:is>
          <x:t>Ipiranga,Rock In Rio</x:t>
        </x:is>
      </x:c>
      <x:c t="inlineStr" r="BL69"/>
      <x:c t="inlineStr" r="BM69"/>
      <x:c t="inlineStr" r="BN69"/>
      <x:c t="inlineStr" r="BO69"/>
      <x:c t="inlineStr" r="BP69"/>
      <x:c t="inlineStr" r="BQ69"/>
      <x:c t="inlineStr" r="BR69"/>
      <x:c t="inlineStr" r="BS69"/>
      <x:c t="inlineStr" r="BT69"/>
      <x:c t="inlineStr" r="BU69"/>
      <x:c t="inlineStr" r="BV69"/>
      <x:c t="inlineStr" r="BW69"/>
      <x:c t="inlineStr" r="BX69"/>
      <x:c t="inlineStr" r="BY69"/>
      <x:c t="inlineStr" r="BZ69">
        <x:is>
          <x:t>Ipiranga</x:t>
        </x:is>
      </x:c>
      <x:c t="inlineStr" r="CA69"/>
      <x:c t="inlineStr" r="CB69"/>
      <x:c t="inlineStr" r="CC69"/>
      <x:c t="inlineStr" r="CD69"/>
      <x:c t="inlineStr" r="CE69">
        <x:is>
          <x:t>Rock In Rio</x:t>
        </x:is>
      </x:c>
      <x:c t="inlineStr" r="CF69"/>
    </x:row>
    <x:row r="70">
      <x:c t="n" r="A70">
        <x:v>275095723</x:v>
      </x:c>
      <x:c t="inlineStr" r="B70">
        <x:is>
          <x:t>28.08.2026</x:t>
        </x:is>
      </x:c>
      <x:c t="inlineStr" r="C70">
        <x:is>
          <x:t>07:01</x:t>
        </x:is>
      </x:c>
      <x:c t="inlineStr" r="D70">
        <x:is>
          <x:t>02.09.2026 21:37</x:t>
        </x:is>
      </x:c>
      <x:c t="inlineStr" r="E70">
        <x:is>
          <x:t/>
        </x:is>
      </x:c>
      <x:c t="str" r="F70">
        <x:v>Ainda dá tempo de chegar na Cidade do Rock com o Galegão . 🎸⛽​
Baixe o app KMV, resgate seu ingresso de gramado para o Rock in Rio Brasil 2026 
usando pontos + dinheiro e prepare-se para viver dias de muita música.​
Sua jornada começa aqui e termina em um dos maiores festivais de música ​
e entretenimento do mundo.​
🍻Conveniência | 🍺Pit-Stop |🛢️Troca de óleo | 🍽️Gás de Cozinha
⛽Temos o melhor preço e atendimento.
📌Rod. Comendador Alberto Bonfiglioli, 3015, Jardim Itaipu, Presidente Prudente
#postogalegao #posto #galegao #conveniencia #pitstop #trocadeoleo #gasdecozinha #combustivel #atendimento #preço #jardimitaipu #presidenteprudente#PromoçãoIpiranga #ParadaCompleta
#Ipiranga #Promoção</x:v>
      </x:c>
      <x:c t="inlineStr" r="G70">
        <x:is>
          <x:t/>
        </x:is>
      </x:c>
      <x:c t="inlineStr" r="H70"/>
      <x:c t="inlineStr" r="I70">
        <x:is>
          <x:t>Postar</x:t>
        </x:is>
      </x:c>
      <x:c t="inlineStr" r="J70">
        <x:is>
          <x:t>Texto,Vídeo</x:t>
        </x:is>
      </x:c>
      <x:c t="inlineStr" r="K70">
        <x:is>
          <x:t>InstagramReels</x:t>
        </x:is>
      </x:c>
      <x:c r="L70">
        <x:f>HYPERLINK("https://www.instagram.com/p/DclGTfziRke/")</x:f>
      </x:c>
      <x:c t="inlineStr" r="M70">
        <x:is>
          <x:t>Negativo</x:t>
        </x:is>
      </x:c>
      <x:c t="inlineStr" r="N70">
        <x:is>
          <x:t>Posto Galegão Prudente</x:t>
        </x:is>
      </x:c>
      <x:c t="inlineStr" r="O70">
        <x:is>
          <x:t>postogalegaoprudente</x:t>
        </x:is>
      </x:c>
      <x:c r="P70">
        <x:f>HYPERLINK("http://instagram.com/postogalegaoprudente")</x:f>
      </x:c>
      <x:c t="n" r="Q70">
        <x:v>174</x:v>
      </x:c>
      <x:c t="inlineStr" r="R70"/>
      <x:c t="inlineStr" r="S70"/>
      <x:c t="inlineStr" r="T70">
        <x:is>
          <x:t>instagram.com</x:t>
        </x:is>
      </x:c>
      <x:c t="inlineStr" r="U70">
        <x:is>
          <x:t>Posto Galegão Prudente</x:t>
        </x:is>
      </x:c>
      <x:c r="V70">
        <x:f>HYPERLINK("http://instagram.com/postogalegaoprudente")</x:f>
      </x:c>
      <x:c t="n" r="W70">
        <x:v>174</x:v>
      </x:c>
      <x:c t="inlineStr" r="X70"/>
      <x:c t="inlineStr" r="Y70">
        <x:is>
          <x:t>Rede social</x:t>
        </x:is>
      </x:c>
      <x:c t="inlineStr" r="Z70">
        <x:is>
          <x:t>Português</x:t>
        </x:is>
      </x:c>
      <x:c t="inlineStr" r="AA70"/>
      <x:c t="inlineStr" r="AB70"/>
      <x:c t="inlineStr" r="AC70"/>
      <x:c t="inlineStr" r="AD70"/>
      <x:c t="n" r="AE70">
        <x:v>0</x:v>
      </x:c>
      <x:c t="n" r="AF70">
        <x:v>0</x:v>
      </x:c>
      <x:c t="n" r="AG70">
        <x:v>0</x:v>
      </x:c>
      <x:c t="inlineStr" r="AH70"/>
      <x:c t="inlineStr" r="AI70"/>
      <x:c t="inlineStr" r="AJ70"/>
      <x:c t="inlineStr" r="AK70"/>
      <x:c t="inlineStr" r="AL70"/>
      <x:c t="inlineStr" r="AM70"/>
      <x:c t="inlineStr" r="AN70"/>
      <x:c t="n" r="AO70">
        <x:v>0</x:v>
      </x:c>
      <x:c t="inlineStr" r="AP70"/>
      <x:c t="n" r="AQ70">
        <x:v>82</x:v>
      </x:c>
      <x:c t="inlineStr" r="AR70"/>
      <x:c t="inlineStr" r="AS70"/>
      <x:c t="inlineStr" r="AT70"/>
      <x:c t="n" r="AU70">
        <x:v>174</x:v>
      </x:c>
      <x:c t="inlineStr" r="AV70"/>
      <x:c t="inlineStr" r="AW70">
        <x:is>
          <x:t>Ipiranga</x:t>
        </x:is>
      </x:c>
      <x:c t="inlineStr" r="AX70">
        <x:is>
          <x:t>clothing,text,finger,smartphone,tooth,shirt</x:t>
        </x:is>
      </x:c>
      <x:c t="inlineStr" r="AY70">
        <x:is>
          <x:t/>
        </x:is>
      </x:c>
      <x:c t="inlineStr" r="AZ70">
        <x:is>
          <x:t>man</x:t>
        </x:is>
      </x:c>
      <x:c t="inlineStr" r="BA70">
        <x:is>
          <x:t>smile</x:t>
        </x:is>
      </x:c>
      <x:c t="inlineStr" r="BB70">
        <x:is>
          <x:t>ILLUSTRATION</x:t>
        </x:is>
      </x:c>
      <x:c t="inlineStr" r="BC70">
        <x:is>
          <x:t>advertising</x:t>
        </x:is>
      </x:c>
      <x:c t="inlineStr" r="BD70">
        <x:is>
          <x:t>https://scontent-ams2-1.cdninstagram.com/v/t51.82787-15/786422948_17964550023167284_8106659922299041835_n.jpg?stp=c0.448.1152.1152a_dst-jpg_e35_s1080x1080_sh2.08_tt6&amp;_nc_cat=108&amp;ig_cache_key=Mzk3MzYwOTk3NDMyNDA3NDc4MjE3OTY0NTUwMDE3MTY3Mjg0.3-ccb7-5&amp;ccb=7-5&amp;_nc_sid=58cdad&amp;efg=eyJ2ZW5jb2RlX3RhZyI6IkNMSVBTLnhwaWRzLjExNTIuc2RyLnZpZGVvX2RlZmF1bHRfY292ZXJfZnJhbWUuQzMifQ%3D%3D&amp;_nc_ohc=uALTJaBQgAIQ7kNvwFFEH6f&amp;_nc_oc=AdoiRqOiUp28wnaSfkBROMYiD4bJFUucWsH9lj7fFzTAQKnSKCqJWWCse6umaauKNrQ9y3lrirQ8eRaWclqeiCc9&amp;_nc_zt=23&amp;_nc_ht=scontent-ams2-1.cdninstagram.com&amp;_nc_gid=mp-Tn2fKzJLkK95F6yBCGg&amp;_nc_ss=70689&amp;oh=00_AQIlby3daJwwC2U0CnLemtXXN2YLKt8RcEA1pr5Y84DBsg&amp;oe=6A9E8DB6</x:t>
        </x:is>
      </x:c>
      <x:c t="inlineStr" r="BE70">
        <x:is>
          <x:t/>
        </x:is>
      </x:c>
      <x:c t="inlineStr" r="BF70">
        <x:is>
          <x:t>Não</x:t>
        </x:is>
      </x:c>
      <x:c t="inlineStr" r="BG70"/>
      <x:c t="inlineStr" r="BH70">
        <x:is>
          <x:t/>
        </x:is>
      </x:c>
      <x:c t="inlineStr" r="BI70">
        <x:is>
          <x:t>Comércio</x:t>
        </x:is>
      </x:c>
      <x:c t="inlineStr" r="BJ70"/>
      <x:c t="inlineStr" r="BK70">
        <x:is>
          <x:t>Ipiranga,App KMV,Rock In Rio</x:t>
        </x:is>
      </x:c>
      <x:c t="inlineStr" r="BL70"/>
      <x:c t="inlineStr" r="BM70"/>
      <x:c t="inlineStr" r="BN70"/>
      <x:c t="inlineStr" r="BO70"/>
      <x:c t="inlineStr" r="BP70"/>
      <x:c t="inlineStr" r="BQ70"/>
      <x:c t="inlineStr" r="BR70"/>
      <x:c t="inlineStr" r="BS70"/>
      <x:c t="inlineStr" r="BT70"/>
      <x:c t="inlineStr" r="BU70"/>
      <x:c t="inlineStr" r="BV70"/>
      <x:c t="inlineStr" r="BW70"/>
      <x:c t="inlineStr" r="BX70"/>
      <x:c t="inlineStr" r="BY70"/>
      <x:c t="inlineStr" r="BZ70">
        <x:is>
          <x:t>Ipiranga</x:t>
        </x:is>
      </x:c>
      <x:c t="inlineStr" r="CA70"/>
      <x:c t="inlineStr" r="CB70"/>
      <x:c t="inlineStr" r="CC70"/>
      <x:c t="inlineStr" r="CD70">
        <x:is>
          <x:t>App KMV</x:t>
        </x:is>
      </x:c>
      <x:c t="inlineStr" r="CE70">
        <x:is>
          <x:t>Rock In Rio</x:t>
        </x:is>
      </x:c>
      <x:c t="inlineStr" r="CF70"/>
    </x:row>
    <x:row r="71">
      <x:c t="n" r="A71">
        <x:v>476895286</x:v>
      </x:c>
      <x:c t="inlineStr" r="B71">
        <x:is>
          <x:t>27.08.2026</x:t>
        </x:is>
      </x:c>
      <x:c t="inlineStr" r="C71">
        <x:is>
          <x:t>23:40</x:t>
        </x:is>
      </x:c>
      <x:c t="inlineStr" r="D71">
        <x:is>
          <x:t>28.08.2026 13:05</x:t>
        </x:is>
      </x:c>
      <x:c t="inlineStr" r="E71">
        <x:is>
          <x:t/>
        </x:is>
      </x:c>
      <x:c t="str" r="F71">
        <x:v>🔥 Quem estava contando os dias já pode comemorar: os ingressos de gramado estão disponíveis no app KMV.
🎟️ Resgate seu ingresso de gramado para o Rock In Rio Brasil 2026 usando seus pontos + dinheiro e ganhe R$ 100 em vale-combustível.
🚗 Passe no Posto Ipiranga para uma Parada Completa: abasteça com Ipimax, aproveite a AmPm ou dê aquele cuidado no carro no Jet Oil e fique preparado para curtir o melhor do festival.
#Ipiranga #KMV #RockinRio2026</x:v>
      </x:c>
      <x:c t="inlineStr" r="G71">
        <x:is>
          <x:t/>
        </x:is>
      </x:c>
      <x:c t="inlineStr" r="H71"/>
      <x:c t="inlineStr" r="I71">
        <x:is>
          <x:t>Repost</x:t>
        </x:is>
      </x:c>
      <x:c t="inlineStr" r="J71">
        <x:is>
          <x:t>Imagem,Álbum,Texto</x:t>
        </x:is>
      </x:c>
      <x:c t="inlineStr" r="K71"/>
      <x:c r="L71">
        <x:f>HYPERLINK("https://x.com/Cirilla_W/status/2093166733943242977")</x:f>
      </x:c>
      <x:c t="inlineStr" r="M71">
        <x:is>
          <x:t>Negativo</x:t>
        </x:is>
      </x:c>
      <x:c t="inlineStr" r="N71">
        <x:is>
          <x:t>Cirillarius</x:t>
        </x:is>
      </x:c>
      <x:c t="inlineStr" r="O71">
        <x:is>
          <x:t>Cirilla_W</x:t>
        </x:is>
      </x:c>
      <x:c r="P71">
        <x:f>HYPERLINK("http://x.com/Cirilla_W")</x:f>
      </x:c>
      <x:c t="n" r="Q71">
        <x:v>1</x:v>
      </x:c>
      <x:c t="inlineStr" r="R71"/>
      <x:c t="inlineStr" r="S71"/>
      <x:c t="inlineStr" r="T71">
        <x:is>
          <x:t>x.com</x:t>
        </x:is>
      </x:c>
      <x:c t="inlineStr" r="U71"/>
      <x:c t="inlineStr" r="V71"/>
      <x:c t="inlineStr" r="W71"/>
      <x:c t="inlineStr" r="X71"/>
      <x:c t="inlineStr" r="Y71">
        <x:is>
          <x:t>Rede social</x:t>
        </x:is>
      </x:c>
      <x:c t="inlineStr" r="Z71">
        <x:is>
          <x:t>Português</x:t>
        </x:is>
      </x:c>
      <x:c t="inlineStr" r="AA71">
        <x:is>
          <x:t>Indonésia</x:t>
        </x:is>
      </x:c>
      <x:c t="inlineStr" r="AB71"/>
      <x:c t="inlineStr" r="AC71"/>
      <x:c t="inlineStr" r="AD71"/>
      <x:c t="inlineStr" r="AE71"/>
      <x:c t="n" r="AF71">
        <x:v>0</x:v>
      </x:c>
      <x:c t="inlineStr" r="AG71"/>
      <x:c t="inlineStr" r="AH71"/>
      <x:c t="inlineStr" r="AI71"/>
      <x:c t="inlineStr" r="AJ71"/>
      <x:c t="inlineStr" r="AK71"/>
      <x:c t="inlineStr" r="AL71"/>
      <x:c t="inlineStr" r="AM71"/>
      <x:c t="inlineStr" r="AN71"/>
      <x:c t="inlineStr" r="AO71"/>
      <x:c t="inlineStr" r="AP71"/>
      <x:c t="inlineStr" r="AQ71"/>
      <x:c t="inlineStr" r="AR71"/>
      <x:c t="inlineStr" r="AS71"/>
      <x:c t="inlineStr" r="AT71"/>
      <x:c t="n" r="AU71">
        <x:v>1</x:v>
      </x:c>
      <x:c t="inlineStr" r="AV71"/>
      <x:c t="inlineStr" r="AW71">
        <x:is>
          <x:t/>
        </x:is>
      </x:c>
      <x:c t="inlineStr" r="AX71">
        <x:is>
          <x:t>text</x:t>
        </x:is>
      </x:c>
      <x:c t="inlineStr" r="AY71">
        <x:is>
          <x:t/>
        </x:is>
      </x:c>
      <x:c t="inlineStr" r="AZ71">
        <x:is>
          <x:t/>
        </x:is>
      </x:c>
      <x:c t="inlineStr" r="BA71">
        <x:is>
          <x:t/>
        </x:is>
      </x:c>
      <x:c t="inlineStr" r="BB71">
        <x:is>
          <x:t>ILLUSTRATION</x:t>
        </x:is>
      </x:c>
      <x:c t="inlineStr" r="BC71">
        <x:is>
          <x:t>advertising</x:t>
        </x:is>
      </x:c>
      <x:c r="BD71">
        <x:f>HYPERLINK("https://pbs.twimg.com/media/HQCMNDrWMAAskRN.jpg")</x:f>
      </x:c>
      <x:c t="inlineStr" r="BE71">
        <x:is>
          <x:t/>
        </x:is>
      </x:c>
      <x:c t="inlineStr" r="BF71">
        <x:is>
          <x:t>Não</x:t>
        </x:is>
      </x:c>
      <x:c t="inlineStr" r="BG71"/>
      <x:c t="inlineStr" r="BH71">
        <x:is>
          <x:t/>
        </x:is>
      </x:c>
      <x:c t="inlineStr" r="BI71">
        <x:is>
          <x:t>Giveaway</x:t>
        </x:is>
      </x:c>
      <x:c t="inlineStr" r="BJ71"/>
      <x:c t="inlineStr" r="BK71">
        <x:is>
          <x:t>Franquia - Jet Oil,Franquia - AmPm,Ipimax,Campanha: Parada Completa,Ipiranga,App KMV,Rock In Rio</x:t>
        </x:is>
      </x:c>
      <x:c t="inlineStr" r="BL71"/>
      <x:c t="inlineStr" r="BM71"/>
      <x:c t="inlineStr" r="BN71"/>
      <x:c t="inlineStr" r="BO71"/>
      <x:c t="inlineStr" r="BP71"/>
      <x:c t="inlineStr" r="BQ71"/>
      <x:c t="inlineStr" r="BR71"/>
      <x:c t="inlineStr" r="BS71"/>
      <x:c t="inlineStr" r="BT71"/>
      <x:c t="inlineStr" r="BU71"/>
      <x:c t="inlineStr" r="BV71">
        <x:is>
          <x:t>Franquia - AmPm</x:t>
        </x:is>
      </x:c>
      <x:c t="inlineStr" r="BW71">
        <x:is>
          <x:t>Ipimax</x:t>
        </x:is>
      </x:c>
      <x:c t="inlineStr" r="BX71">
        <x:is>
          <x:t>Franquia - Jet Oil</x:t>
        </x:is>
      </x:c>
      <x:c t="inlineStr" r="BY71">
        <x:is>
          <x:t>Campanha: Parada Completa</x:t>
        </x:is>
      </x:c>
      <x:c t="inlineStr" r="BZ71">
        <x:is>
          <x:t>Ipiranga</x:t>
        </x:is>
      </x:c>
      <x:c t="inlineStr" r="CA71"/>
      <x:c t="inlineStr" r="CB71"/>
      <x:c t="inlineStr" r="CC71"/>
      <x:c t="inlineStr" r="CD71">
        <x:is>
          <x:t>App KMV</x:t>
        </x:is>
      </x:c>
      <x:c t="inlineStr" r="CE71">
        <x:is>
          <x:t>Rock In Rio</x:t>
        </x:is>
      </x:c>
      <x:c t="inlineStr" r="CF71"/>
    </x:row>
    <x:row r="72">
      <x:c t="n" r="A72">
        <x:v>1797294536</x:v>
      </x:c>
      <x:c t="inlineStr" r="B72">
        <x:is>
          <x:t>27.08.2026</x:t>
        </x:is>
      </x:c>
      <x:c t="inlineStr" r="C72">
        <x:is>
          <x:t>20:26</x:t>
        </x:is>
      </x:c>
      <x:c t="inlineStr" r="D72">
        <x:is>
          <x:t>27.08.2026 21:11</x:t>
        </x:is>
      </x:c>
      <x:c t="inlineStr" r="E72">
        <x:is>
          <x:t/>
        </x:is>
      </x:c>
      <x:c t="str" r="F72">
        <x:v>🔥 Quem estava contando os dias já pode comemorar: os ingressos de gramado estão disponíveis no app KMV.
🎟️ Resgate seu ingresso de gramado para o Rock In Rio Brasil 2026 usando seus pontos + dinheiro e ganhe R$ 100 em vale-combustível.
🚗 Passe no Posto Ipiranga para uma Parada Completa: abasteça com Ipimax, aproveite a AmPm ou dê aquele cuidado no carro no Jet Oil e fique preparado para curtir o melhor do festival.
#Ipiranga #KMV #RockinRio2026</x:v>
      </x:c>
      <x:c t="inlineStr" r="G72">
        <x:is>
          <x:t/>
        </x:is>
      </x:c>
      <x:c t="inlineStr" r="H72"/>
      <x:c t="inlineStr" r="I72">
        <x:is>
          <x:t>Repost</x:t>
        </x:is>
      </x:c>
      <x:c t="inlineStr" r="J72">
        <x:is>
          <x:t>Imagem,Álbum,Texto</x:t>
        </x:is>
      </x:c>
      <x:c t="inlineStr" r="K72"/>
      <x:c r="L72">
        <x:f>HYPERLINK("https://x.com/mmchannie/status/2093117925477511669")</x:f>
      </x:c>
      <x:c t="inlineStr" r="M72">
        <x:is>
          <x:t>Negativo</x:t>
        </x:is>
      </x:c>
      <x:c t="inlineStr" r="N72">
        <x:is>
          <x:t>Ma &amp; that</x:t>
        </x:is>
      </x:c>
      <x:c t="inlineStr" r="O72">
        <x:is>
          <x:t>mmchannie</x:t>
        </x:is>
      </x:c>
      <x:c r="P72">
        <x:f>HYPERLINK("http://x.com/mmchannie")</x:f>
      </x:c>
      <x:c t="n" r="Q72">
        <x:v>114</x:v>
      </x:c>
      <x:c t="inlineStr" r="R72"/>
      <x:c t="inlineStr" r="S72"/>
      <x:c t="inlineStr" r="T72">
        <x:is>
          <x:t>x.com</x:t>
        </x:is>
      </x:c>
      <x:c t="inlineStr" r="U72"/>
      <x:c t="inlineStr" r="V72"/>
      <x:c t="inlineStr" r="W72"/>
      <x:c t="inlineStr" r="X72"/>
      <x:c t="inlineStr" r="Y72">
        <x:is>
          <x:t>Rede social</x:t>
        </x:is>
      </x:c>
      <x:c t="inlineStr" r="Z72">
        <x:is>
          <x:t>Português</x:t>
        </x:is>
      </x:c>
      <x:c t="inlineStr" r="AA72">
        <x:is>
          <x:t>Brasil</x:t>
        </x:is>
      </x:c>
      <x:c t="inlineStr" r="AB72"/>
      <x:c t="inlineStr" r="AC72"/>
      <x:c t="inlineStr" r="AD72"/>
      <x:c t="inlineStr" r="AE72"/>
      <x:c t="n" r="AF72">
        <x:v>0</x:v>
      </x:c>
      <x:c t="inlineStr" r="AG72"/>
      <x:c t="inlineStr" r="AH72"/>
      <x:c t="inlineStr" r="AI72"/>
      <x:c t="inlineStr" r="AJ72"/>
      <x:c t="inlineStr" r="AK72"/>
      <x:c t="inlineStr" r="AL72"/>
      <x:c t="inlineStr" r="AM72"/>
      <x:c t="inlineStr" r="AN72"/>
      <x:c t="inlineStr" r="AO72"/>
      <x:c t="inlineStr" r="AP72"/>
      <x:c t="inlineStr" r="AQ72"/>
      <x:c t="inlineStr" r="AR72"/>
      <x:c t="inlineStr" r="AS72"/>
      <x:c t="inlineStr" r="AT72"/>
      <x:c t="n" r="AU72">
        <x:v>114</x:v>
      </x:c>
      <x:c t="inlineStr" r="AV72"/>
      <x:c t="inlineStr" r="AW72">
        <x:is>
          <x:t/>
        </x:is>
      </x:c>
      <x:c t="inlineStr" r="AX72">
        <x:is>
          <x:t>text</x:t>
        </x:is>
      </x:c>
      <x:c t="inlineStr" r="AY72">
        <x:is>
          <x:t/>
        </x:is>
      </x:c>
      <x:c t="inlineStr" r="AZ72">
        <x:is>
          <x:t/>
        </x:is>
      </x:c>
      <x:c t="inlineStr" r="BA72">
        <x:is>
          <x:t/>
        </x:is>
      </x:c>
      <x:c t="inlineStr" r="BB72">
        <x:is>
          <x:t>ILLUSTRATION</x:t>
        </x:is>
      </x:c>
      <x:c t="inlineStr" r="BC72">
        <x:is>
          <x:t>advertising</x:t>
        </x:is>
      </x:c>
      <x:c r="BD72">
        <x:f>HYPERLINK("https://pbs.twimg.com/media/HQCMNDrWMAAskRN.jpg")</x:f>
      </x:c>
      <x:c t="inlineStr" r="BE72">
        <x:is>
          <x:t/>
        </x:is>
      </x:c>
      <x:c t="inlineStr" r="BF72">
        <x:is>
          <x:t>Não</x:t>
        </x:is>
      </x:c>
      <x:c t="inlineStr" r="BG72"/>
      <x:c t="inlineStr" r="BH72">
        <x:is>
          <x:t/>
        </x:is>
      </x:c>
      <x:c t="inlineStr" r="BI72">
        <x:is>
          <x:t>Giveaway</x:t>
        </x:is>
      </x:c>
      <x:c t="inlineStr" r="BJ72"/>
      <x:c t="inlineStr" r="BK72">
        <x:is>
          <x:t>Franquia - Jet Oil,Franquia - AmPm,Ipimax,Campanha: Parada Completa,Ipiranga,App KMV,Rock In Rio</x:t>
        </x:is>
      </x:c>
      <x:c t="inlineStr" r="BL72"/>
      <x:c t="inlineStr" r="BM72"/>
      <x:c t="inlineStr" r="BN72"/>
      <x:c t="inlineStr" r="BO72"/>
      <x:c t="inlineStr" r="BP72"/>
      <x:c t="inlineStr" r="BQ72"/>
      <x:c t="inlineStr" r="BR72"/>
      <x:c t="inlineStr" r="BS72"/>
      <x:c t="inlineStr" r="BT72"/>
      <x:c t="inlineStr" r="BU72"/>
      <x:c t="inlineStr" r="BV72">
        <x:is>
          <x:t>Franquia - AmPm</x:t>
        </x:is>
      </x:c>
      <x:c t="inlineStr" r="BW72">
        <x:is>
          <x:t>Ipimax</x:t>
        </x:is>
      </x:c>
      <x:c t="inlineStr" r="BX72">
        <x:is>
          <x:t>Franquia - Jet Oil</x:t>
        </x:is>
      </x:c>
      <x:c t="inlineStr" r="BY72">
        <x:is>
          <x:t>Campanha: Parada Completa</x:t>
        </x:is>
      </x:c>
      <x:c t="inlineStr" r="BZ72">
        <x:is>
          <x:t>Ipiranga</x:t>
        </x:is>
      </x:c>
      <x:c t="inlineStr" r="CA72"/>
      <x:c t="inlineStr" r="CB72"/>
      <x:c t="inlineStr" r="CC72"/>
      <x:c t="inlineStr" r="CD72">
        <x:is>
          <x:t>App KMV</x:t>
        </x:is>
      </x:c>
      <x:c t="inlineStr" r="CE72">
        <x:is>
          <x:t>Rock In Rio</x:t>
        </x:is>
      </x:c>
      <x:c t="inlineStr" r="CF72"/>
    </x:row>
    <x:row r="73">
      <x:c t="n" r="A73">
        <x:v>1393845424</x:v>
      </x:c>
      <x:c t="inlineStr" r="B73">
        <x:is>
          <x:t>27.08.2026</x:t>
        </x:is>
      </x:c>
      <x:c t="inlineStr" r="C73">
        <x:is>
          <x:t>20:08</x:t>
        </x:is>
      </x:c>
      <x:c t="inlineStr" r="D73">
        <x:is>
          <x:t>28.08.2026 11:18</x:t>
        </x:is>
      </x:c>
      <x:c t="inlineStr" r="E73">
        <x:is>
          <x:t/>
        </x:is>
      </x:c>
      <x:c t="str" r="F73">
        <x:v>🔥 Quem estava contando os dias já pode comemorar: os ingressos de gramado estão disponíveis no app KMV.
🎟️ Resgate seu ingresso de gramado para o Rock In Rio Brasil 2026 usando seus pontos + dinheiro e ganhe R$ 100 em vale-combustível.
🚗 Passe no Posto Ipiranga para uma Parada Completa: abasteça com Ipimax, aproveite a AmPm ou dê aquele cuidado no carro no Jet Oil e fique preparado para curtir o melhor do festival.
#Ipiranga #KMV #RockinRio2026</x:v>
      </x:c>
      <x:c t="inlineStr" r="G73">
        <x:is>
          <x:t/>
        </x:is>
      </x:c>
      <x:c t="inlineStr" r="H73"/>
      <x:c t="inlineStr" r="I73">
        <x:is>
          <x:t>Repost</x:t>
        </x:is>
      </x:c>
      <x:c t="inlineStr" r="J73">
        <x:is>
          <x:t>Imagem,Álbum,Texto</x:t>
        </x:is>
      </x:c>
      <x:c t="inlineStr" r="K73"/>
      <x:c r="L73">
        <x:f>HYPERLINK("https://x.com/SKZtreet0308/status/2093113491355820414")</x:f>
      </x:c>
      <x:c t="inlineStr" r="M73">
        <x:is>
          <x:t>Negativo</x:t>
        </x:is>
      </x:c>
      <x:c t="inlineStr" r="N73">
        <x:is>
          <x:t>🫧</x:t>
        </x:is>
      </x:c>
      <x:c t="inlineStr" r="O73">
        <x:is>
          <x:t>SKZtreet0308</x:t>
        </x:is>
      </x:c>
      <x:c r="P73">
        <x:f>HYPERLINK("http://x.com/SKZtreet0308")</x:f>
      </x:c>
      <x:c t="n" r="Q73">
        <x:v>2</x:v>
      </x:c>
      <x:c t="inlineStr" r="R73"/>
      <x:c t="inlineStr" r="S73"/>
      <x:c t="inlineStr" r="T73">
        <x:is>
          <x:t>x.com</x:t>
        </x:is>
      </x:c>
      <x:c t="inlineStr" r="U73"/>
      <x:c t="inlineStr" r="V73"/>
      <x:c t="inlineStr" r="W73"/>
      <x:c t="inlineStr" r="X73"/>
      <x:c t="inlineStr" r="Y73">
        <x:is>
          <x:t>Rede social</x:t>
        </x:is>
      </x:c>
      <x:c t="inlineStr" r="Z73">
        <x:is>
          <x:t>Português</x:t>
        </x:is>
      </x:c>
      <x:c t="inlineStr" r="AA73">
        <x:is>
          <x:t>EUA</x:t>
        </x:is>
      </x:c>
      <x:c t="inlineStr" r="AB73"/>
      <x:c t="inlineStr" r="AC73"/>
      <x:c t="inlineStr" r="AD73"/>
      <x:c t="inlineStr" r="AE73"/>
      <x:c t="n" r="AF73">
        <x:v>0</x:v>
      </x:c>
      <x:c t="inlineStr" r="AG73"/>
      <x:c t="inlineStr" r="AH73"/>
      <x:c t="inlineStr" r="AI73"/>
      <x:c t="inlineStr" r="AJ73"/>
      <x:c t="inlineStr" r="AK73"/>
      <x:c t="inlineStr" r="AL73"/>
      <x:c t="inlineStr" r="AM73"/>
      <x:c t="inlineStr" r="AN73"/>
      <x:c t="inlineStr" r="AO73"/>
      <x:c t="inlineStr" r="AP73"/>
      <x:c t="inlineStr" r="AQ73"/>
      <x:c t="inlineStr" r="AR73"/>
      <x:c t="inlineStr" r="AS73"/>
      <x:c t="inlineStr" r="AT73"/>
      <x:c t="n" r="AU73">
        <x:v>2</x:v>
      </x:c>
      <x:c t="inlineStr" r="AV73"/>
      <x:c t="inlineStr" r="AW73">
        <x:is>
          <x:t/>
        </x:is>
      </x:c>
      <x:c t="inlineStr" r="AX73">
        <x:is>
          <x:t>text</x:t>
        </x:is>
      </x:c>
      <x:c t="inlineStr" r="AY73">
        <x:is>
          <x:t/>
        </x:is>
      </x:c>
      <x:c t="inlineStr" r="AZ73">
        <x:is>
          <x:t/>
        </x:is>
      </x:c>
      <x:c t="inlineStr" r="BA73">
        <x:is>
          <x:t/>
        </x:is>
      </x:c>
      <x:c t="inlineStr" r="BB73">
        <x:is>
          <x:t>ILLUSTRATION</x:t>
        </x:is>
      </x:c>
      <x:c t="inlineStr" r="BC73">
        <x:is>
          <x:t>advertising</x:t>
        </x:is>
      </x:c>
      <x:c r="BD73">
        <x:f>HYPERLINK("https://pbs.twimg.com/media/HQCMNDrWMAAskRN.jpg")</x:f>
      </x:c>
      <x:c t="inlineStr" r="BE73">
        <x:is>
          <x:t/>
        </x:is>
      </x:c>
      <x:c t="inlineStr" r="BF73">
        <x:is>
          <x:t>Não</x:t>
        </x:is>
      </x:c>
      <x:c t="inlineStr" r="BG73"/>
      <x:c t="inlineStr" r="BH73">
        <x:is>
          <x:t/>
        </x:is>
      </x:c>
      <x:c t="inlineStr" r="BI73">
        <x:is>
          <x:t>Giveaway</x:t>
        </x:is>
      </x:c>
      <x:c t="inlineStr" r="BJ73"/>
      <x:c t="inlineStr" r="BK73">
        <x:is>
          <x:t>Franquia - Jet Oil,Franquia - AmPm,Ipimax,Campanha: Parada Completa,Ipiranga,App KMV,Rock In Rio</x:t>
        </x:is>
      </x:c>
      <x:c t="inlineStr" r="BL73"/>
      <x:c t="inlineStr" r="BM73"/>
      <x:c t="inlineStr" r="BN73"/>
      <x:c t="inlineStr" r="BO73"/>
      <x:c t="inlineStr" r="BP73"/>
      <x:c t="inlineStr" r="BQ73"/>
      <x:c t="inlineStr" r="BR73"/>
      <x:c t="inlineStr" r="BS73"/>
      <x:c t="inlineStr" r="BT73"/>
      <x:c t="inlineStr" r="BU73"/>
      <x:c t="inlineStr" r="BV73">
        <x:is>
          <x:t>Franquia - AmPm</x:t>
        </x:is>
      </x:c>
      <x:c t="inlineStr" r="BW73">
        <x:is>
          <x:t>Ipimax</x:t>
        </x:is>
      </x:c>
      <x:c t="inlineStr" r="BX73">
        <x:is>
          <x:t>Franquia - Jet Oil</x:t>
        </x:is>
      </x:c>
      <x:c t="inlineStr" r="BY73">
        <x:is>
          <x:t>Campanha: Parada Completa</x:t>
        </x:is>
      </x:c>
      <x:c t="inlineStr" r="BZ73">
        <x:is>
          <x:t>Ipiranga</x:t>
        </x:is>
      </x:c>
      <x:c t="inlineStr" r="CA73"/>
      <x:c t="inlineStr" r="CB73"/>
      <x:c t="inlineStr" r="CC73"/>
      <x:c t="inlineStr" r="CD73">
        <x:is>
          <x:t>App KMV</x:t>
        </x:is>
      </x:c>
      <x:c t="inlineStr" r="CE73">
        <x:is>
          <x:t>Rock In Rio</x:t>
        </x:is>
      </x:c>
      <x:c t="inlineStr" r="CF73"/>
    </x:row>
    <x:row r="74">
      <x:c t="n" r="A74">
        <x:v>2594478415</x:v>
      </x:c>
      <x:c t="inlineStr" r="B74">
        <x:is>
          <x:t>27.08.2026</x:t>
        </x:is>
      </x:c>
      <x:c t="inlineStr" r="C74">
        <x:is>
          <x:t>19:09</x:t>
        </x:is>
      </x:c>
      <x:c t="inlineStr" r="D74">
        <x:is>
          <x:t>28.08.2026 10:52</x:t>
        </x:is>
      </x:c>
      <x:c t="inlineStr" r="E74">
        <x:is>
          <x:t/>
        </x:is>
      </x:c>
      <x:c t="str" r="F74">
        <x:v>🔥 Quem estava contando os dias já pode comemorar: os ingressos de gramado estão disponíveis no app KMV.
🎟️ Resgate seu ingresso de gramado para o Rock In Rio Brasil 2026 usando seus pontos + dinheiro e ganhe R$ 100 em vale-combustível.
🚗 Passe no Posto Ipiranga para uma Parada Completa: abasteça com Ipimax, aproveite a AmPm ou dê aquele cuidado no carro no Jet Oil e fique preparado para curtir o melhor do festival.
#Ipiranga #KMV #RockinRio2026</x:v>
      </x:c>
      <x:c t="inlineStr" r="G74">
        <x:is>
          <x:t/>
        </x:is>
      </x:c>
      <x:c t="inlineStr" r="H74"/>
      <x:c t="inlineStr" r="I74">
        <x:is>
          <x:t>Repost</x:t>
        </x:is>
      </x:c>
      <x:c t="inlineStr" r="J74">
        <x:is>
          <x:t>Imagem,Álbum,Texto</x:t>
        </x:is>
      </x:c>
      <x:c t="inlineStr" r="K74"/>
      <x:c r="L74">
        <x:f>HYPERLINK("https://x.com/darytafdez93/status/2093098486967238719")</x:f>
      </x:c>
      <x:c t="inlineStr" r="M74">
        <x:is>
          <x:t>Negativo</x:t>
        </x:is>
      </x:c>
      <x:c t="inlineStr" r="N74">
        <x:is>
          <x:t>Darytafdez93🩷🖤 🌊</x:t>
        </x:is>
      </x:c>
      <x:c t="inlineStr" r="O74">
        <x:is>
          <x:t>darytafdez93</x:t>
        </x:is>
      </x:c>
      <x:c r="P74">
        <x:f>HYPERLINK("http://x.com/darytafdez93")</x:f>
      </x:c>
      <x:c t="n" r="Q74">
        <x:v>68</x:v>
      </x:c>
      <x:c t="inlineStr" r="R74"/>
      <x:c t="inlineStr" r="S74"/>
      <x:c t="inlineStr" r="T74">
        <x:is>
          <x:t>x.com</x:t>
        </x:is>
      </x:c>
      <x:c t="inlineStr" r="U74"/>
      <x:c t="inlineStr" r="V74"/>
      <x:c t="inlineStr" r="W74"/>
      <x:c t="inlineStr" r="X74"/>
      <x:c t="inlineStr" r="Y74">
        <x:is>
          <x:t>Rede social</x:t>
        </x:is>
      </x:c>
      <x:c t="inlineStr" r="Z74">
        <x:is>
          <x:t>Português</x:t>
        </x:is>
      </x:c>
      <x:c t="inlineStr" r="AA74">
        <x:is>
          <x:t>Uruguai</x:t>
        </x:is>
      </x:c>
      <x:c t="inlineStr" r="AB74"/>
      <x:c t="inlineStr" r="AC74"/>
      <x:c t="inlineStr" r="AD74"/>
      <x:c t="inlineStr" r="AE74"/>
      <x:c t="n" r="AF74">
        <x:v>0</x:v>
      </x:c>
      <x:c t="inlineStr" r="AG74"/>
      <x:c t="inlineStr" r="AH74"/>
      <x:c t="inlineStr" r="AI74"/>
      <x:c t="inlineStr" r="AJ74"/>
      <x:c t="inlineStr" r="AK74"/>
      <x:c t="inlineStr" r="AL74"/>
      <x:c t="inlineStr" r="AM74"/>
      <x:c t="inlineStr" r="AN74"/>
      <x:c t="inlineStr" r="AO74"/>
      <x:c t="inlineStr" r="AP74"/>
      <x:c t="inlineStr" r="AQ74"/>
      <x:c t="inlineStr" r="AR74"/>
      <x:c t="inlineStr" r="AS74"/>
      <x:c t="inlineStr" r="AT74"/>
      <x:c t="n" r="AU74">
        <x:v>68</x:v>
      </x:c>
      <x:c t="inlineStr" r="AV74"/>
      <x:c t="inlineStr" r="AW74">
        <x:is>
          <x:t/>
        </x:is>
      </x:c>
      <x:c t="inlineStr" r="AX74">
        <x:is>
          <x:t>text</x:t>
        </x:is>
      </x:c>
      <x:c t="inlineStr" r="AY74">
        <x:is>
          <x:t/>
        </x:is>
      </x:c>
      <x:c t="inlineStr" r="AZ74">
        <x:is>
          <x:t/>
        </x:is>
      </x:c>
      <x:c t="inlineStr" r="BA74">
        <x:is>
          <x:t/>
        </x:is>
      </x:c>
      <x:c t="inlineStr" r="BB74">
        <x:is>
          <x:t>ILLUSTRATION</x:t>
        </x:is>
      </x:c>
      <x:c t="inlineStr" r="BC74">
        <x:is>
          <x:t>advertising</x:t>
        </x:is>
      </x:c>
      <x:c r="BD74">
        <x:f>HYPERLINK("https://pbs.twimg.com/media/HQCMNDrWMAAskRN.jpg")</x:f>
      </x:c>
      <x:c t="inlineStr" r="BE74">
        <x:is>
          <x:t/>
        </x:is>
      </x:c>
      <x:c t="inlineStr" r="BF74">
        <x:is>
          <x:t>Não</x:t>
        </x:is>
      </x:c>
      <x:c t="inlineStr" r="BG74"/>
      <x:c t="inlineStr" r="BH74">
        <x:is>
          <x:t/>
        </x:is>
      </x:c>
      <x:c t="inlineStr" r="BI74">
        <x:is>
          <x:t>Giveaway</x:t>
        </x:is>
      </x:c>
      <x:c t="inlineStr" r="BJ74"/>
      <x:c t="inlineStr" r="BK74">
        <x:is>
          <x:t>Franquia - Jet Oil,Franquia - AmPm,Ipimax,Campanha: Parada Completa,Ipiranga,App KMV,Rock In Rio</x:t>
        </x:is>
      </x:c>
      <x:c t="inlineStr" r="BL74"/>
      <x:c t="inlineStr" r="BM74"/>
      <x:c t="inlineStr" r="BN74"/>
      <x:c t="inlineStr" r="BO74"/>
      <x:c t="inlineStr" r="BP74"/>
      <x:c t="inlineStr" r="BQ74"/>
      <x:c t="inlineStr" r="BR74"/>
      <x:c t="inlineStr" r="BS74"/>
      <x:c t="inlineStr" r="BT74"/>
      <x:c t="inlineStr" r="BU74"/>
      <x:c t="inlineStr" r="BV74">
        <x:is>
          <x:t>Franquia - AmPm</x:t>
        </x:is>
      </x:c>
      <x:c t="inlineStr" r="BW74">
        <x:is>
          <x:t>Ipimax</x:t>
        </x:is>
      </x:c>
      <x:c t="inlineStr" r="BX74">
        <x:is>
          <x:t>Franquia - Jet Oil</x:t>
        </x:is>
      </x:c>
      <x:c t="inlineStr" r="BY74">
        <x:is>
          <x:t>Campanha: Parada Completa</x:t>
        </x:is>
      </x:c>
      <x:c t="inlineStr" r="BZ74">
        <x:is>
          <x:t>Ipiranga</x:t>
        </x:is>
      </x:c>
      <x:c t="inlineStr" r="CA74"/>
      <x:c t="inlineStr" r="CB74"/>
      <x:c t="inlineStr" r="CC74"/>
      <x:c t="inlineStr" r="CD74">
        <x:is>
          <x:t>App KMV</x:t>
        </x:is>
      </x:c>
      <x:c t="inlineStr" r="CE74">
        <x:is>
          <x:t>Rock In Rio</x:t>
        </x:is>
      </x:c>
      <x:c t="inlineStr" r="CF74"/>
    </x:row>
    <x:row r="75">
      <x:c t="n" r="A75">
        <x:v>3711028045</x:v>
      </x:c>
      <x:c t="inlineStr" r="B75">
        <x:is>
          <x:t>27.08.2026</x:t>
        </x:is>
      </x:c>
      <x:c t="inlineStr" r="C75">
        <x:is>
          <x:t>18:51</x:t>
        </x:is>
      </x:c>
      <x:c t="inlineStr" r="D75">
        <x:is>
          <x:t>27.08.2026 20:37</x:t>
        </x:is>
      </x:c>
      <x:c t="inlineStr" r="E75">
        <x:is>
          <x:t/>
        </x:is>
      </x:c>
      <x:c t="str" r="F75">
        <x:v>🔥 Quem estava contando os dias já pode comemorar: os ingressos de gramado estão disponíveis no app KMV.
🎟️ Resgate seu ingresso de gramado para o Rock In Rio Brasil 2026 usando seus pontos + dinheiro e ganhe R$ 100 em vale-combustível.
🚗 Passe no Posto Ipiranga para uma Parada Completa: abasteça com Ipimax, aproveite a AmPm ou dê aquele cuidado no carro no Jet Oil e fique preparado para curtir o melhor do festival.
#Ipiranga #KMV #RockinRio2026</x:v>
      </x:c>
      <x:c t="inlineStr" r="G75">
        <x:is>
          <x:t/>
        </x:is>
      </x:c>
      <x:c t="inlineStr" r="H75"/>
      <x:c t="inlineStr" r="I75">
        <x:is>
          <x:t>Repost</x:t>
        </x:is>
      </x:c>
      <x:c t="inlineStr" r="J75">
        <x:is>
          <x:t>Imagem,Álbum,Texto</x:t>
        </x:is>
      </x:c>
      <x:c t="inlineStr" r="K75"/>
      <x:c r="L75">
        <x:f>HYPERLINK("https://x.com/apenasumastay/status/2093094036374794696")</x:f>
      </x:c>
      <x:c t="inlineStr" r="M75">
        <x:is>
          <x:t>Negativo</x:t>
        </x:is>
      </x:c>
      <x:c t="inlineStr" r="N75">
        <x:is>
          <x:t>Marih &amp; That | Juridico WAY OUT vai ver o SKZ</x:t>
        </x:is>
      </x:c>
      <x:c t="inlineStr" r="O75">
        <x:is>
          <x:t>apenasumastay</x:t>
        </x:is>
      </x:c>
      <x:c r="P75">
        <x:f>HYPERLINK("http://x.com/apenasumastay")</x:f>
      </x:c>
      <x:c t="n" r="Q75">
        <x:v>536</x:v>
      </x:c>
      <x:c t="inlineStr" r="R75">
        <x:is>
          <x:t>Mulher</x:t>
        </x:is>
      </x:c>
      <x:c t="inlineStr" r="S75"/>
      <x:c t="inlineStr" r="T75">
        <x:is>
          <x:t>x.com</x:t>
        </x:is>
      </x:c>
      <x:c t="inlineStr" r="U75"/>
      <x:c t="inlineStr" r="V75"/>
      <x:c t="inlineStr" r="W75"/>
      <x:c t="inlineStr" r="X75"/>
      <x:c t="inlineStr" r="Y75">
        <x:is>
          <x:t>Rede social</x:t>
        </x:is>
      </x:c>
      <x:c t="inlineStr" r="Z75">
        <x:is>
          <x:t>Português</x:t>
        </x:is>
      </x:c>
      <x:c t="inlineStr" r="AA75">
        <x:is>
          <x:t>Brasil</x:t>
        </x:is>
      </x:c>
      <x:c t="inlineStr" r="AB75"/>
      <x:c t="inlineStr" r="AC75"/>
      <x:c t="inlineStr" r="AD75"/>
      <x:c t="inlineStr" r="AE75"/>
      <x:c t="n" r="AF75">
        <x:v>0</x:v>
      </x:c>
      <x:c t="inlineStr" r="AG75"/>
      <x:c t="inlineStr" r="AH75"/>
      <x:c t="inlineStr" r="AI75"/>
      <x:c t="inlineStr" r="AJ75"/>
      <x:c t="inlineStr" r="AK75"/>
      <x:c t="inlineStr" r="AL75"/>
      <x:c t="inlineStr" r="AM75"/>
      <x:c t="inlineStr" r="AN75"/>
      <x:c t="inlineStr" r="AO75"/>
      <x:c t="inlineStr" r="AP75"/>
      <x:c t="inlineStr" r="AQ75"/>
      <x:c t="inlineStr" r="AR75"/>
      <x:c t="inlineStr" r="AS75"/>
      <x:c t="inlineStr" r="AT75"/>
      <x:c t="n" r="AU75">
        <x:v>536</x:v>
      </x:c>
      <x:c t="inlineStr" r="AV75"/>
      <x:c t="inlineStr" r="AW75">
        <x:is>
          <x:t/>
        </x:is>
      </x:c>
      <x:c t="inlineStr" r="AX75">
        <x:is>
          <x:t>text</x:t>
        </x:is>
      </x:c>
      <x:c t="inlineStr" r="AY75">
        <x:is>
          <x:t/>
        </x:is>
      </x:c>
      <x:c t="inlineStr" r="AZ75">
        <x:is>
          <x:t/>
        </x:is>
      </x:c>
      <x:c t="inlineStr" r="BA75">
        <x:is>
          <x:t/>
        </x:is>
      </x:c>
      <x:c t="inlineStr" r="BB75">
        <x:is>
          <x:t>ILLUSTRATION</x:t>
        </x:is>
      </x:c>
      <x:c t="inlineStr" r="BC75">
        <x:is>
          <x:t>advertising</x:t>
        </x:is>
      </x:c>
      <x:c r="BD75">
        <x:f>HYPERLINK("https://pbs.twimg.com/media/HQCMNDrWMAAskRN.jpg")</x:f>
      </x:c>
      <x:c t="inlineStr" r="BE75">
        <x:is>
          <x:t/>
        </x:is>
      </x:c>
      <x:c t="inlineStr" r="BF75">
        <x:is>
          <x:t>Não</x:t>
        </x:is>
      </x:c>
      <x:c t="inlineStr" r="BG75"/>
      <x:c t="inlineStr" r="BH75">
        <x:is>
          <x:t/>
        </x:is>
      </x:c>
      <x:c t="inlineStr" r="BI75">
        <x:is>
          <x:t>Giveaway</x:t>
        </x:is>
      </x:c>
      <x:c t="inlineStr" r="BJ75"/>
      <x:c t="inlineStr" r="BK75">
        <x:is>
          <x:t>Franquia - Jet Oil,Franquia - AmPm,Ipimax,Campanha: Parada Completa,Ipiranga,App KMV,Rock In Rio</x:t>
        </x:is>
      </x:c>
      <x:c t="inlineStr" r="BL75"/>
      <x:c t="inlineStr" r="BM75"/>
      <x:c t="inlineStr" r="BN75"/>
      <x:c t="inlineStr" r="BO75"/>
      <x:c t="inlineStr" r="BP75"/>
      <x:c t="inlineStr" r="BQ75"/>
      <x:c t="inlineStr" r="BR75"/>
      <x:c t="inlineStr" r="BS75"/>
      <x:c t="inlineStr" r="BT75"/>
      <x:c t="inlineStr" r="BU75"/>
      <x:c t="inlineStr" r="BV75">
        <x:is>
          <x:t>Franquia - AmPm</x:t>
        </x:is>
      </x:c>
      <x:c t="inlineStr" r="BW75">
        <x:is>
          <x:t>Ipimax</x:t>
        </x:is>
      </x:c>
      <x:c t="inlineStr" r="BX75">
        <x:is>
          <x:t>Franquia - Jet Oil</x:t>
        </x:is>
      </x:c>
      <x:c t="inlineStr" r="BY75">
        <x:is>
          <x:t>Campanha: Parada Completa</x:t>
        </x:is>
      </x:c>
      <x:c t="inlineStr" r="BZ75">
        <x:is>
          <x:t>Ipiranga</x:t>
        </x:is>
      </x:c>
      <x:c t="inlineStr" r="CA75"/>
      <x:c t="inlineStr" r="CB75"/>
      <x:c t="inlineStr" r="CC75"/>
      <x:c t="inlineStr" r="CD75">
        <x:is>
          <x:t>App KMV</x:t>
        </x:is>
      </x:c>
      <x:c t="inlineStr" r="CE75">
        <x:is>
          <x:t>Rock In Rio</x:t>
        </x:is>
      </x:c>
      <x:c t="inlineStr" r="CF75"/>
    </x:row>
    <x:row r="76">
      <x:c t="n" r="A76">
        <x:v>2439777571</x:v>
      </x:c>
      <x:c t="inlineStr" r="B76">
        <x:is>
          <x:t>27.08.2026</x:t>
        </x:is>
      </x:c>
      <x:c t="inlineStr" r="C76">
        <x:is>
          <x:t>18:44</x:t>
        </x:is>
      </x:c>
      <x:c t="inlineStr" r="D76">
        <x:is>
          <x:t>28.08.2026 14:25</x:t>
        </x:is>
      </x:c>
      <x:c t="inlineStr" r="E76">
        <x:is>
          <x:t/>
        </x:is>
      </x:c>
      <x:c t="str" r="F76">
        <x:v>🔥 Quem estava contando os dias já pode comemorar: os ingressos de gramado estão disponíveis no app KMV.
🎟️ Resgate seu ingresso de gramado para o Rock In Rio Brasil 2026 usando seus pontos + dinheiro e ganhe R$ 100 em vale-combustível.
🚗 Passe no Posto Ipiranga para uma Parada Completa: abasteça com Ipimax, aproveite a AmPm ou dê aquele cuidado no carro no Jet Oil e fique preparado para curtir o melhor do festival.
#Ipiranga #KMV #RockinRio2026</x:v>
      </x:c>
      <x:c t="inlineStr" r="G76">
        <x:is>
          <x:t/>
        </x:is>
      </x:c>
      <x:c t="inlineStr" r="H76"/>
      <x:c t="inlineStr" r="I76">
        <x:is>
          <x:t>Repost</x:t>
        </x:is>
      </x:c>
      <x:c t="inlineStr" r="J76">
        <x:is>
          <x:t>Imagem,Álbum,Texto</x:t>
        </x:is>
      </x:c>
      <x:c t="inlineStr" r="K76"/>
      <x:c r="L76">
        <x:f>HYPERLINK("https://x.com/itzseobin/status/2093092367876194695")</x:f>
      </x:c>
      <x:c t="inlineStr" r="M76">
        <x:is>
          <x:t>Negativo</x:t>
        </x:is>
      </x:c>
      <x:c t="inlineStr" r="N76">
        <x:is>
          <x:t>tori🌷NO RIR!!</x:t>
        </x:is>
      </x:c>
      <x:c t="inlineStr" r="O76">
        <x:is>
          <x:t>itzseobin</x:t>
        </x:is>
      </x:c>
      <x:c r="P76">
        <x:f>HYPERLINK("http://x.com/itzseobin")</x:f>
      </x:c>
      <x:c t="n" r="Q76">
        <x:v>1567</x:v>
      </x:c>
      <x:c t="inlineStr" r="R76"/>
      <x:c t="inlineStr" r="S76"/>
      <x:c t="inlineStr" r="T76">
        <x:is>
          <x:t>x.com</x:t>
        </x:is>
      </x:c>
      <x:c t="inlineStr" r="U76"/>
      <x:c t="inlineStr" r="V76"/>
      <x:c t="inlineStr" r="W76"/>
      <x:c t="inlineStr" r="X76"/>
      <x:c t="inlineStr" r="Y76">
        <x:is>
          <x:t>Rede social</x:t>
        </x:is>
      </x:c>
      <x:c t="inlineStr" r="Z76">
        <x:is>
          <x:t>Português</x:t>
        </x:is>
      </x:c>
      <x:c t="inlineStr" r="AA76">
        <x:is>
          <x:t>Brasil</x:t>
        </x:is>
      </x:c>
      <x:c t="inlineStr" r="AB76"/>
      <x:c t="inlineStr" r="AC76"/>
      <x:c t="inlineStr" r="AD76"/>
      <x:c t="inlineStr" r="AE76"/>
      <x:c t="n" r="AF76">
        <x:v>0</x:v>
      </x:c>
      <x:c t="inlineStr" r="AG76"/>
      <x:c t="inlineStr" r="AH76"/>
      <x:c t="inlineStr" r="AI76"/>
      <x:c t="inlineStr" r="AJ76"/>
      <x:c t="inlineStr" r="AK76"/>
      <x:c t="inlineStr" r="AL76"/>
      <x:c t="inlineStr" r="AM76"/>
      <x:c t="inlineStr" r="AN76"/>
      <x:c t="inlineStr" r="AO76"/>
      <x:c t="inlineStr" r="AP76"/>
      <x:c t="inlineStr" r="AQ76"/>
      <x:c t="inlineStr" r="AR76"/>
      <x:c t="inlineStr" r="AS76"/>
      <x:c t="inlineStr" r="AT76"/>
      <x:c t="n" r="AU76">
        <x:v>1567</x:v>
      </x:c>
      <x:c t="inlineStr" r="AV76"/>
      <x:c t="inlineStr" r="AW76">
        <x:is>
          <x:t/>
        </x:is>
      </x:c>
      <x:c t="inlineStr" r="AX76">
        <x:is>
          <x:t>text</x:t>
        </x:is>
      </x:c>
      <x:c t="inlineStr" r="AY76">
        <x:is>
          <x:t/>
        </x:is>
      </x:c>
      <x:c t="inlineStr" r="AZ76">
        <x:is>
          <x:t/>
        </x:is>
      </x:c>
      <x:c t="inlineStr" r="BA76">
        <x:is>
          <x:t/>
        </x:is>
      </x:c>
      <x:c t="inlineStr" r="BB76">
        <x:is>
          <x:t>ILLUSTRATION</x:t>
        </x:is>
      </x:c>
      <x:c t="inlineStr" r="BC76">
        <x:is>
          <x:t>advertising</x:t>
        </x:is>
      </x:c>
      <x:c r="BD76">
        <x:f>HYPERLINK("https://pbs.twimg.com/media/HQCMNDrWMAAskRN.jpg")</x:f>
      </x:c>
      <x:c t="inlineStr" r="BE76">
        <x:is>
          <x:t/>
        </x:is>
      </x:c>
      <x:c t="inlineStr" r="BF76">
        <x:is>
          <x:t>Não</x:t>
        </x:is>
      </x:c>
      <x:c t="inlineStr" r="BG76"/>
      <x:c t="inlineStr" r="BH76">
        <x:is>
          <x:t/>
        </x:is>
      </x:c>
      <x:c t="inlineStr" r="BI76">
        <x:is>
          <x:t>Giveaway</x:t>
        </x:is>
      </x:c>
      <x:c t="inlineStr" r="BJ76"/>
      <x:c t="inlineStr" r="BK76">
        <x:is>
          <x:t>Franquia - Jet Oil,Franquia - AmPm,Ipimax,Campanha: Parada Completa,Ipiranga,App KMV,Rock In Rio</x:t>
        </x:is>
      </x:c>
      <x:c t="inlineStr" r="BL76"/>
      <x:c t="inlineStr" r="BM76"/>
      <x:c t="inlineStr" r="BN76"/>
      <x:c t="inlineStr" r="BO76"/>
      <x:c t="inlineStr" r="BP76"/>
      <x:c t="inlineStr" r="BQ76"/>
      <x:c t="inlineStr" r="BR76"/>
      <x:c t="inlineStr" r="BS76"/>
      <x:c t="inlineStr" r="BT76"/>
      <x:c t="inlineStr" r="BU76"/>
      <x:c t="inlineStr" r="BV76">
        <x:is>
          <x:t>Franquia - AmPm</x:t>
        </x:is>
      </x:c>
      <x:c t="inlineStr" r="BW76">
        <x:is>
          <x:t>Ipimax</x:t>
        </x:is>
      </x:c>
      <x:c t="inlineStr" r="BX76">
        <x:is>
          <x:t>Franquia - Jet Oil</x:t>
        </x:is>
      </x:c>
      <x:c t="inlineStr" r="BY76">
        <x:is>
          <x:t>Campanha: Parada Completa</x:t>
        </x:is>
      </x:c>
      <x:c t="inlineStr" r="BZ76">
        <x:is>
          <x:t>Ipiranga</x:t>
        </x:is>
      </x:c>
      <x:c t="inlineStr" r="CA76"/>
      <x:c t="inlineStr" r="CB76"/>
      <x:c t="inlineStr" r="CC76"/>
      <x:c t="inlineStr" r="CD76">
        <x:is>
          <x:t>App KMV</x:t>
        </x:is>
      </x:c>
      <x:c t="inlineStr" r="CE76">
        <x:is>
          <x:t>Rock In Rio</x:t>
        </x:is>
      </x:c>
      <x:c t="inlineStr" r="CF76"/>
    </x:row>
    <x:row r="77">
      <x:c t="n" r="A77">
        <x:v>3505818659</x:v>
      </x:c>
      <x:c t="inlineStr" r="B77">
        <x:is>
          <x:t>27.08.2026</x:t>
        </x:is>
      </x:c>
      <x:c t="inlineStr" r="C77">
        <x:is>
          <x:t>18:10</x:t>
        </x:is>
      </x:c>
      <x:c t="inlineStr" r="D77">
        <x:is>
          <x:t>28.08.2026 13:59</x:t>
        </x:is>
      </x:c>
      <x:c t="inlineStr" r="E77">
        <x:is>
          <x:t/>
        </x:is>
      </x:c>
      <x:c t="str" r="F77">
        <x:v>🔥 Quem estava contando os dias já pode comemorar: os ingressos de gramado estão disponíveis no app KMV.
🎟️ Resgate seu ingresso de gramado para o Rock In Rio Brasil 2026 usando seus pontos + dinheiro e ganhe R$ 100 em vale-combustível.
🚗 Passe no Posto Ipiranga para uma Parada Completa: abasteça com Ipimax, aproveite a AmPm ou dê aquele cuidado no carro no Jet Oil e fique preparado para curtir o melhor do festival.
#Ipiranga #KMV #RockinRio2026</x:v>
      </x:c>
      <x:c t="inlineStr" r="G77">
        <x:is>
          <x:t/>
        </x:is>
      </x:c>
      <x:c t="inlineStr" r="H77"/>
      <x:c t="inlineStr" r="I77">
        <x:is>
          <x:t>Repost</x:t>
        </x:is>
      </x:c>
      <x:c t="inlineStr" r="J77">
        <x:is>
          <x:t>Imagem,Álbum,Texto</x:t>
        </x:is>
      </x:c>
      <x:c t="inlineStr" r="K77"/>
      <x:c r="L77">
        <x:f>HYPERLINK("https://x.com/daniminiverse/status/2093083850976981062")</x:f>
      </x:c>
      <x:c t="inlineStr" r="M77">
        <x:is>
          <x:t>Negativo</x:t>
        </x:is>
      </x:c>
      <x:c t="inlineStr" r="N77">
        <x:is>
          <x:t>Dani 📖 | 🪷</x:t>
        </x:is>
      </x:c>
      <x:c t="inlineStr" r="O77">
        <x:is>
          <x:t>daniminiverse</x:t>
        </x:is>
      </x:c>
      <x:c r="P77">
        <x:f>HYPERLINK("http://x.com/daniminiverse")</x:f>
      </x:c>
      <x:c t="n" r="Q77">
        <x:v>1352</x:v>
      </x:c>
      <x:c t="inlineStr" r="R77"/>
      <x:c t="inlineStr" r="S77"/>
      <x:c t="inlineStr" r="T77">
        <x:is>
          <x:t>x.com</x:t>
        </x:is>
      </x:c>
      <x:c t="inlineStr" r="U77"/>
      <x:c t="inlineStr" r="V77"/>
      <x:c t="inlineStr" r="W77"/>
      <x:c t="inlineStr" r="X77"/>
      <x:c t="inlineStr" r="Y77">
        <x:is>
          <x:t>Rede social</x:t>
        </x:is>
      </x:c>
      <x:c t="inlineStr" r="Z77">
        <x:is>
          <x:t>Português</x:t>
        </x:is>
      </x:c>
      <x:c t="inlineStr" r="AA77">
        <x:is>
          <x:t>Brasil</x:t>
        </x:is>
      </x:c>
      <x:c t="inlineStr" r="AB77"/>
      <x:c t="inlineStr" r="AC77"/>
      <x:c t="inlineStr" r="AD77"/>
      <x:c t="inlineStr" r="AE77"/>
      <x:c t="n" r="AF77">
        <x:v>0</x:v>
      </x:c>
      <x:c t="inlineStr" r="AG77"/>
      <x:c t="inlineStr" r="AH77"/>
      <x:c t="inlineStr" r="AI77"/>
      <x:c t="inlineStr" r="AJ77"/>
      <x:c t="inlineStr" r="AK77"/>
      <x:c t="inlineStr" r="AL77"/>
      <x:c t="inlineStr" r="AM77"/>
      <x:c t="inlineStr" r="AN77"/>
      <x:c t="inlineStr" r="AO77"/>
      <x:c t="inlineStr" r="AP77"/>
      <x:c t="inlineStr" r="AQ77"/>
      <x:c t="inlineStr" r="AR77"/>
      <x:c t="inlineStr" r="AS77"/>
      <x:c t="inlineStr" r="AT77"/>
      <x:c t="n" r="AU77">
        <x:v>1352</x:v>
      </x:c>
      <x:c t="inlineStr" r="AV77"/>
      <x:c t="inlineStr" r="AW77">
        <x:is>
          <x:t/>
        </x:is>
      </x:c>
      <x:c t="inlineStr" r="AX77">
        <x:is>
          <x:t>text</x:t>
        </x:is>
      </x:c>
      <x:c t="inlineStr" r="AY77">
        <x:is>
          <x:t/>
        </x:is>
      </x:c>
      <x:c t="inlineStr" r="AZ77">
        <x:is>
          <x:t/>
        </x:is>
      </x:c>
      <x:c t="inlineStr" r="BA77">
        <x:is>
          <x:t/>
        </x:is>
      </x:c>
      <x:c t="inlineStr" r="BB77">
        <x:is>
          <x:t>ILLUSTRATION</x:t>
        </x:is>
      </x:c>
      <x:c t="inlineStr" r="BC77">
        <x:is>
          <x:t>advertising</x:t>
        </x:is>
      </x:c>
      <x:c r="BD77">
        <x:f>HYPERLINK("https://pbs.twimg.com/media/HQCMNDrWMAAskRN.jpg")</x:f>
      </x:c>
      <x:c t="inlineStr" r="BE77">
        <x:is>
          <x:t/>
        </x:is>
      </x:c>
      <x:c t="inlineStr" r="BF77">
        <x:is>
          <x:t>Não</x:t>
        </x:is>
      </x:c>
      <x:c t="inlineStr" r="BG77"/>
      <x:c t="inlineStr" r="BH77">
        <x:is>
          <x:t/>
        </x:is>
      </x:c>
      <x:c t="inlineStr" r="BI77">
        <x:is>
          <x:t>Giveaway</x:t>
        </x:is>
      </x:c>
      <x:c t="inlineStr" r="BJ77"/>
      <x:c t="inlineStr" r="BK77">
        <x:is>
          <x:t>Franquia - Jet Oil,Franquia - AmPm,Ipimax,Campanha: Parada Completa,Ipiranga,App KMV,Rock In Rio</x:t>
        </x:is>
      </x:c>
      <x:c t="inlineStr" r="BL77"/>
      <x:c t="inlineStr" r="BM77"/>
      <x:c t="inlineStr" r="BN77"/>
      <x:c t="inlineStr" r="BO77"/>
      <x:c t="inlineStr" r="BP77"/>
      <x:c t="inlineStr" r="BQ77"/>
      <x:c t="inlineStr" r="BR77"/>
      <x:c t="inlineStr" r="BS77"/>
      <x:c t="inlineStr" r="BT77"/>
      <x:c t="inlineStr" r="BU77"/>
      <x:c t="inlineStr" r="BV77">
        <x:is>
          <x:t>Franquia - AmPm</x:t>
        </x:is>
      </x:c>
      <x:c t="inlineStr" r="BW77">
        <x:is>
          <x:t>Ipimax</x:t>
        </x:is>
      </x:c>
      <x:c t="inlineStr" r="BX77">
        <x:is>
          <x:t>Franquia - Jet Oil</x:t>
        </x:is>
      </x:c>
      <x:c t="inlineStr" r="BY77">
        <x:is>
          <x:t>Campanha: Parada Completa</x:t>
        </x:is>
      </x:c>
      <x:c t="inlineStr" r="BZ77">
        <x:is>
          <x:t>Ipiranga</x:t>
        </x:is>
      </x:c>
      <x:c t="inlineStr" r="CA77"/>
      <x:c t="inlineStr" r="CB77"/>
      <x:c t="inlineStr" r="CC77"/>
      <x:c t="inlineStr" r="CD77">
        <x:is>
          <x:t>App KMV</x:t>
        </x:is>
      </x:c>
      <x:c t="inlineStr" r="CE77">
        <x:is>
          <x:t>Rock In Rio</x:t>
        </x:is>
      </x:c>
      <x:c t="inlineStr" r="CF77"/>
    </x:row>
    <x:row r="78">
      <x:c t="n" r="A78">
        <x:v>4284395523</x:v>
      </x:c>
      <x:c t="inlineStr" r="B78">
        <x:is>
          <x:t>27.08.2026</x:t>
        </x:is>
      </x:c>
      <x:c t="inlineStr" r="C78">
        <x:is>
          <x:t>17:56</x:t>
        </x:is>
      </x:c>
      <x:c t="inlineStr" r="D78">
        <x:is>
          <x:t>27.08.2026 22:38</x:t>
        </x:is>
      </x:c>
      <x:c t="inlineStr" r="E78">
        <x:is>
          <x:t/>
        </x:is>
      </x:c>
      <x:c t="str" r="F78">
        <x:v>🔥 Os grandes momentos começam muito antes do show. Eles começam quando você garante seu ingresso. 
🎟️ Os ingressos para o Rock in Rio Brasil 2026 já estão disponíveis no app KMV.
Resgate usando pontos + dinheiro e ainda ganhe R$ 100 em vale-combustível. 
Depois, é só fazer aquela Parada Completa no Posto Ipiranga e se preparar para curtir  o festival. 
#Ipiranga #KMV #RockinRio2026</x:v>
      </x:c>
      <x:c t="inlineStr" r="G78">
        <x:is>
          <x:t/>
        </x:is>
      </x:c>
      <x:c t="inlineStr" r="H78"/>
      <x:c t="inlineStr" r="I78">
        <x:is>
          <x:t>Repost</x:t>
        </x:is>
      </x:c>
      <x:c t="inlineStr" r="J78">
        <x:is>
          <x:t>Imagem,Álbum,Texto</x:t>
        </x:is>
      </x:c>
      <x:c t="inlineStr" r="K78"/>
      <x:c r="L78">
        <x:f>HYPERLINK("https://x.com/nasximentoss/status/2093080151861117401")</x:f>
      </x:c>
      <x:c t="inlineStr" r="M78">
        <x:is>
          <x:t>Negativo</x:t>
        </x:is>
      </x:c>
      <x:c t="inlineStr" r="N78">
        <x:is>
          <x:t>nascimento¹⁶</x:t>
        </x:is>
      </x:c>
      <x:c t="inlineStr" r="O78">
        <x:is>
          <x:t>nasximentoss</x:t>
        </x:is>
      </x:c>
      <x:c r="P78">
        <x:f>HYPERLINK("http://x.com/nasximentoss")</x:f>
      </x:c>
      <x:c t="n" r="Q78">
        <x:v>26</x:v>
      </x:c>
      <x:c t="inlineStr" r="R78"/>
      <x:c t="inlineStr" r="S78"/>
      <x:c t="inlineStr" r="T78">
        <x:is>
          <x:t>x.com</x:t>
        </x:is>
      </x:c>
      <x:c t="inlineStr" r="U78"/>
      <x:c t="inlineStr" r="V78"/>
      <x:c t="inlineStr" r="W78"/>
      <x:c t="inlineStr" r="X78"/>
      <x:c t="inlineStr" r="Y78">
        <x:is>
          <x:t>Rede social</x:t>
        </x:is>
      </x:c>
      <x:c t="inlineStr" r="Z78">
        <x:is>
          <x:t>Português</x:t>
        </x:is>
      </x:c>
      <x:c t="inlineStr" r="AA78">
        <x:is>
          <x:t>Brasil</x:t>
        </x:is>
      </x:c>
      <x:c t="inlineStr" r="AB78">
        <x:is>
          <x:t>São Paulo</x:t>
        </x:is>
      </x:c>
      <x:c t="inlineStr" r="AC78"/>
      <x:c t="inlineStr" r="AD78"/>
      <x:c t="inlineStr" r="AE78"/>
      <x:c t="n" r="AF78">
        <x:v>0</x:v>
      </x:c>
      <x:c t="inlineStr" r="AG78"/>
      <x:c t="inlineStr" r="AH78"/>
      <x:c t="inlineStr" r="AI78"/>
      <x:c t="inlineStr" r="AJ78"/>
      <x:c t="inlineStr" r="AK78"/>
      <x:c t="inlineStr" r="AL78"/>
      <x:c t="inlineStr" r="AM78"/>
      <x:c t="inlineStr" r="AN78"/>
      <x:c t="inlineStr" r="AO78"/>
      <x:c t="inlineStr" r="AP78"/>
      <x:c t="inlineStr" r="AQ78"/>
      <x:c t="inlineStr" r="AR78"/>
      <x:c t="inlineStr" r="AS78"/>
      <x:c t="inlineStr" r="AT78"/>
      <x:c t="n" r="AU78">
        <x:v>26</x:v>
      </x:c>
      <x:c t="inlineStr" r="AV78"/>
      <x:c t="inlineStr" r="AW78">
        <x:is>
          <x:t/>
        </x:is>
      </x:c>
      <x:c t="inlineStr" r="AX78">
        <x:is>
          <x:t>text,poster</x:t>
        </x:is>
      </x:c>
      <x:c t="inlineStr" r="AY78">
        <x:is>
          <x:t/>
        </x:is>
      </x:c>
      <x:c t="inlineStr" r="AZ78">
        <x:is>
          <x:t/>
        </x:is>
      </x:c>
      <x:c t="inlineStr" r="BA78">
        <x:is>
          <x:t/>
        </x:is>
      </x:c>
      <x:c t="inlineStr" r="BB78">
        <x:is>
          <x:t>ILLUSTRATION</x:t>
        </x:is>
      </x:c>
      <x:c t="inlineStr" r="BC78">
        <x:is>
          <x:t>graphics</x:t>
        </x:is>
      </x:c>
      <x:c r="BD78">
        <x:f>HYPERLINK("https://pbs.twimg.com/media/HQq-7UaX0AAcGzD.jpg")</x:f>
      </x:c>
      <x:c t="inlineStr" r="BE78">
        <x:is>
          <x:t/>
        </x:is>
      </x:c>
      <x:c t="inlineStr" r="BF78">
        <x:is>
          <x:t>Não</x:t>
        </x:is>
      </x:c>
      <x:c t="inlineStr" r="BG78"/>
      <x:c t="inlineStr" r="BH78">
        <x:is>
          <x:t/>
        </x:is>
      </x:c>
      <x:c t="inlineStr" r="BI78">
        <x:is>
          <x:t>Promoção</x:t>
        </x:is>
      </x:c>
      <x:c t="inlineStr" r="BJ78">
        <x:is>
          <x:t>O Rock in Rio começa semana que vem e por aqui a ansiedade já está ON!</x:t>
        </x:is>
      </x:c>
      <x:c t="inlineStr" r="BK78">
        <x:is>
          <x:t>Campanha: Parada Completa,Ipiranga,App KMV,Rock In Rio</x:t>
        </x:is>
      </x:c>
      <x:c t="inlineStr" r="BL78"/>
      <x:c t="inlineStr" r="BM78"/>
      <x:c t="inlineStr" r="BN78"/>
      <x:c t="inlineStr" r="BO78"/>
      <x:c t="inlineStr" r="BP78"/>
      <x:c t="inlineStr" r="BQ78"/>
      <x:c t="inlineStr" r="BR78"/>
      <x:c t="inlineStr" r="BS78"/>
      <x:c t="inlineStr" r="BT78"/>
      <x:c t="inlineStr" r="BU78"/>
      <x:c t="inlineStr" r="BV78"/>
      <x:c t="inlineStr" r="BW78"/>
      <x:c t="inlineStr" r="BX78"/>
      <x:c t="inlineStr" r="BY78">
        <x:is>
          <x:t>Campanha: Parada Completa</x:t>
        </x:is>
      </x:c>
      <x:c t="inlineStr" r="BZ78">
        <x:is>
          <x:t>Ipiranga</x:t>
        </x:is>
      </x:c>
      <x:c t="inlineStr" r="CA78"/>
      <x:c t="inlineStr" r="CB78"/>
      <x:c t="inlineStr" r="CC78"/>
      <x:c t="inlineStr" r="CD78">
        <x:is>
          <x:t>App KMV</x:t>
        </x:is>
      </x:c>
      <x:c t="inlineStr" r="CE78">
        <x:is>
          <x:t>Rock In Rio</x:t>
        </x:is>
      </x:c>
      <x:c t="inlineStr" r="CF78"/>
    </x:row>
    <x:row r="79">
      <x:c t="n" r="A79">
        <x:v>2857111468</x:v>
      </x:c>
      <x:c t="inlineStr" r="B79">
        <x:is>
          <x:t>27.08.2026</x:t>
        </x:is>
      </x:c>
      <x:c t="inlineStr" r="C79">
        <x:is>
          <x:t>17:54</x:t>
        </x:is>
      </x:c>
      <x:c t="inlineStr" r="D79">
        <x:is>
          <x:t>27.08.2026 18:20</x:t>
        </x:is>
      </x:c>
      <x:c t="inlineStr" r="E79">
        <x:is>
          <x:t/>
        </x:is>
      </x:c>
      <x:c t="str" r="F79">
        <x:v>🔥 Quem estava contando os dias já pode comemorar: os ingressos de gramado estão disponíveis no app KMV.
🎟️ Resgate seu ingresso de gramado para o Rock In Rio Brasil 2026 usando seus pontos + dinheiro e ganhe R$ 100 em vale-combustível.
🚗 Passe no Posto Ipiranga para uma Parada Completa: abasteça com Ipimax, aproveite a AmPm ou dê aquele cuidado no carro no Jet Oil e fique preparado para curtir o melhor do festival.
#Ipiranga #KMV #RockinRio2026</x:v>
      </x:c>
      <x:c t="inlineStr" r="G79">
        <x:is>
          <x:t/>
        </x:is>
      </x:c>
      <x:c t="inlineStr" r="H79"/>
      <x:c t="inlineStr" r="I79">
        <x:is>
          <x:t>Repost</x:t>
        </x:is>
      </x:c>
      <x:c t="inlineStr" r="J79">
        <x:is>
          <x:t>Imagem,Álbum,Texto</x:t>
        </x:is>
      </x:c>
      <x:c t="inlineStr" r="K79"/>
      <x:c r="L79">
        <x:f>HYPERLINK("https://x.com/sasadohyune/status/2093079775027908707")</x:f>
      </x:c>
      <x:c t="inlineStr" r="M79">
        <x:is>
          <x:t>Negativo</x:t>
        </x:is>
      </x:c>
      <x:c t="inlineStr" r="N79">
        <x:is>
          <x:t>ꔷ Saruda࿔ ˢᶜᶜᵖ &amp; that VAI VER O SKZ E O JÃO</x:t>
        </x:is>
      </x:c>
      <x:c t="inlineStr" r="O79">
        <x:is>
          <x:t>sasadohyune</x:t>
        </x:is>
      </x:c>
      <x:c r="P79">
        <x:f>HYPERLINK("http://x.com/sasadohyune")</x:f>
      </x:c>
      <x:c t="n" r="Q79">
        <x:v>779</x:v>
      </x:c>
      <x:c t="inlineStr" r="R79"/>
      <x:c t="inlineStr" r="S79"/>
      <x:c t="inlineStr" r="T79">
        <x:is>
          <x:t>x.com</x:t>
        </x:is>
      </x:c>
      <x:c t="inlineStr" r="U79"/>
      <x:c t="inlineStr" r="V79"/>
      <x:c t="inlineStr" r="W79"/>
      <x:c t="inlineStr" r="X79"/>
      <x:c t="inlineStr" r="Y79">
        <x:is>
          <x:t>Rede social</x:t>
        </x:is>
      </x:c>
      <x:c t="inlineStr" r="Z79">
        <x:is>
          <x:t>Português</x:t>
        </x:is>
      </x:c>
      <x:c t="inlineStr" r="AA79"/>
      <x:c t="inlineStr" r="AB79"/>
      <x:c t="inlineStr" r="AC79"/>
      <x:c t="inlineStr" r="AD79"/>
      <x:c t="inlineStr" r="AE79"/>
      <x:c t="n" r="AF79">
        <x:v>0</x:v>
      </x:c>
      <x:c t="inlineStr" r="AG79"/>
      <x:c t="inlineStr" r="AH79"/>
      <x:c t="inlineStr" r="AI79"/>
      <x:c t="inlineStr" r="AJ79"/>
      <x:c t="inlineStr" r="AK79"/>
      <x:c t="inlineStr" r="AL79"/>
      <x:c t="inlineStr" r="AM79"/>
      <x:c t="inlineStr" r="AN79"/>
      <x:c t="inlineStr" r="AO79"/>
      <x:c t="inlineStr" r="AP79"/>
      <x:c t="inlineStr" r="AQ79"/>
      <x:c t="inlineStr" r="AR79"/>
      <x:c t="inlineStr" r="AS79"/>
      <x:c t="inlineStr" r="AT79"/>
      <x:c t="n" r="AU79">
        <x:v>779</x:v>
      </x:c>
      <x:c t="inlineStr" r="AV79"/>
      <x:c t="inlineStr" r="AW79">
        <x:is>
          <x:t/>
        </x:is>
      </x:c>
      <x:c t="inlineStr" r="AX79">
        <x:is>
          <x:t>text</x:t>
        </x:is>
      </x:c>
      <x:c t="inlineStr" r="AY79">
        <x:is>
          <x:t/>
        </x:is>
      </x:c>
      <x:c t="inlineStr" r="AZ79">
        <x:is>
          <x:t/>
        </x:is>
      </x:c>
      <x:c t="inlineStr" r="BA79">
        <x:is>
          <x:t/>
        </x:is>
      </x:c>
      <x:c t="inlineStr" r="BB79">
        <x:is>
          <x:t>ILLUSTRATION</x:t>
        </x:is>
      </x:c>
      <x:c t="inlineStr" r="BC79">
        <x:is>
          <x:t>advertising</x:t>
        </x:is>
      </x:c>
      <x:c r="BD79">
        <x:f>HYPERLINK("https://pbs.twimg.com/media/HQCMNDrWMAAskRN.jpg")</x:f>
      </x:c>
      <x:c t="inlineStr" r="BE79">
        <x:is>
          <x:t/>
        </x:is>
      </x:c>
      <x:c t="inlineStr" r="BF79">
        <x:is>
          <x:t>Não</x:t>
        </x:is>
      </x:c>
      <x:c t="inlineStr" r="BG79"/>
      <x:c t="inlineStr" r="BH79">
        <x:is>
          <x:t/>
        </x:is>
      </x:c>
      <x:c t="inlineStr" r="BI79">
        <x:is>
          <x:t>Giveaway</x:t>
        </x:is>
      </x:c>
      <x:c t="inlineStr" r="BJ79"/>
      <x:c t="inlineStr" r="BK79">
        <x:is>
          <x:t>Franquia - Jet Oil,Franquia - AmPm,Ipimax,Campanha: Parada Completa,Ipiranga,App KMV,Rock In Rio</x:t>
        </x:is>
      </x:c>
      <x:c t="inlineStr" r="BL79"/>
      <x:c t="inlineStr" r="BM79"/>
      <x:c t="inlineStr" r="BN79"/>
      <x:c t="inlineStr" r="BO79"/>
      <x:c t="inlineStr" r="BP79"/>
      <x:c t="inlineStr" r="BQ79"/>
      <x:c t="inlineStr" r="BR79"/>
      <x:c t="inlineStr" r="BS79"/>
      <x:c t="inlineStr" r="BT79"/>
      <x:c t="inlineStr" r="BU79"/>
      <x:c t="inlineStr" r="BV79">
        <x:is>
          <x:t>Franquia - AmPm</x:t>
        </x:is>
      </x:c>
      <x:c t="inlineStr" r="BW79">
        <x:is>
          <x:t>Ipimax</x:t>
        </x:is>
      </x:c>
      <x:c t="inlineStr" r="BX79">
        <x:is>
          <x:t>Franquia - Jet Oil</x:t>
        </x:is>
      </x:c>
      <x:c t="inlineStr" r="BY79">
        <x:is>
          <x:t>Campanha: Parada Completa</x:t>
        </x:is>
      </x:c>
      <x:c t="inlineStr" r="BZ79">
        <x:is>
          <x:t>Ipiranga</x:t>
        </x:is>
      </x:c>
      <x:c t="inlineStr" r="CA79"/>
      <x:c t="inlineStr" r="CB79"/>
      <x:c t="inlineStr" r="CC79"/>
      <x:c t="inlineStr" r="CD79">
        <x:is>
          <x:t>App KMV</x:t>
        </x:is>
      </x:c>
      <x:c t="inlineStr" r="CE79">
        <x:is>
          <x:t>Rock In Rio</x:t>
        </x:is>
      </x:c>
      <x:c t="inlineStr" r="CF79"/>
    </x:row>
    <x:row r="80">
      <x:c t="n" r="A80">
        <x:v>1481747461</x:v>
      </x:c>
      <x:c t="inlineStr" r="B80">
        <x:is>
          <x:t>27.08.2026</x:t>
        </x:is>
      </x:c>
      <x:c t="inlineStr" r="C80">
        <x:is>
          <x:t>17:52</x:t>
        </x:is>
      </x:c>
      <x:c t="inlineStr" r="D80">
        <x:is>
          <x:t>28.08.2026 13:18</x:t>
        </x:is>
      </x:c>
      <x:c t="inlineStr" r="E80">
        <x:is>
          <x:t/>
        </x:is>
      </x:c>
      <x:c t="str" r="F80">
        <x:v>🔥 Quem estava contando os dias já pode comemorar: os ingressos de gramado estão disponíveis no app KMV.
🎟️ Resgate seu ingresso de gramado para o Rock In Rio Brasil 2026 usando seus pontos + dinheiro e ganhe R$ 100 em vale-combustível.
🚗 Passe no Posto Ipiranga para uma Parada Completa: abasteça com Ipimax, aproveite a AmPm ou dê aquele cuidado no carro no Jet Oil e fique preparado para curtir o melhor do festival.
#Ipiranga #KMV #RockinRio2026</x:v>
      </x:c>
      <x:c t="inlineStr" r="G80">
        <x:is>
          <x:t/>
        </x:is>
      </x:c>
      <x:c t="inlineStr" r="H80"/>
      <x:c t="inlineStr" r="I80">
        <x:is>
          <x:t>Repost</x:t>
        </x:is>
      </x:c>
      <x:c t="inlineStr" r="J80">
        <x:is>
          <x:t>Imagem,Álbum,Texto</x:t>
        </x:is>
      </x:c>
      <x:c t="inlineStr" r="K80"/>
      <x:c r="L80">
        <x:f>HYPERLINK("https://x.com/__ESCAPENOW__/status/2093079323817259026")</x:f>
      </x:c>
      <x:c t="inlineStr" r="M80">
        <x:is>
          <x:t>Negativo</x:t>
        </x:is>
      </x:c>
      <x:c t="inlineStr" r="N80">
        <x:is>
          <x:t>☯️🐺 SKZ world Domination🐺🏆</x:t>
        </x:is>
      </x:c>
      <x:c t="inlineStr" r="O80">
        <x:is>
          <x:t>__ESCAPENOW__</x:t>
        </x:is>
      </x:c>
      <x:c r="P80">
        <x:f>HYPERLINK("http://x.com/__ESCAPENOW__")</x:f>
      </x:c>
      <x:c t="n" r="Q80">
        <x:v>3398</x:v>
      </x:c>
      <x:c t="inlineStr" r="R80"/>
      <x:c t="inlineStr" r="S80"/>
      <x:c t="inlineStr" r="T80">
        <x:is>
          <x:t>x.com</x:t>
        </x:is>
      </x:c>
      <x:c t="inlineStr" r="U80"/>
      <x:c t="inlineStr" r="V80"/>
      <x:c t="inlineStr" r="W80"/>
      <x:c t="inlineStr" r="X80"/>
      <x:c t="inlineStr" r="Y80">
        <x:is>
          <x:t>Rede social</x:t>
        </x:is>
      </x:c>
      <x:c t="inlineStr" r="Z80">
        <x:is>
          <x:t>Português</x:t>
        </x:is>
      </x:c>
      <x:c t="inlineStr" r="AA80">
        <x:is>
          <x:t>França</x:t>
        </x:is>
      </x:c>
      <x:c t="inlineStr" r="AB80"/>
      <x:c t="inlineStr" r="AC80"/>
      <x:c t="inlineStr" r="AD80"/>
      <x:c t="inlineStr" r="AE80"/>
      <x:c t="n" r="AF80">
        <x:v>0</x:v>
      </x:c>
      <x:c t="inlineStr" r="AG80"/>
      <x:c t="inlineStr" r="AH80"/>
      <x:c t="inlineStr" r="AI80"/>
      <x:c t="inlineStr" r="AJ80"/>
      <x:c t="inlineStr" r="AK80"/>
      <x:c t="inlineStr" r="AL80"/>
      <x:c t="inlineStr" r="AM80"/>
      <x:c t="inlineStr" r="AN80"/>
      <x:c t="inlineStr" r="AO80"/>
      <x:c t="inlineStr" r="AP80"/>
      <x:c t="inlineStr" r="AQ80"/>
      <x:c t="inlineStr" r="AR80"/>
      <x:c t="inlineStr" r="AS80"/>
      <x:c t="inlineStr" r="AT80"/>
      <x:c t="n" r="AU80">
        <x:v>3398</x:v>
      </x:c>
      <x:c t="inlineStr" r="AV80"/>
      <x:c t="inlineStr" r="AW80">
        <x:is>
          <x:t/>
        </x:is>
      </x:c>
      <x:c t="inlineStr" r="AX80">
        <x:is>
          <x:t>text</x:t>
        </x:is>
      </x:c>
      <x:c t="inlineStr" r="AY80">
        <x:is>
          <x:t/>
        </x:is>
      </x:c>
      <x:c t="inlineStr" r="AZ80">
        <x:is>
          <x:t/>
        </x:is>
      </x:c>
      <x:c t="inlineStr" r="BA80">
        <x:is>
          <x:t/>
        </x:is>
      </x:c>
      <x:c t="inlineStr" r="BB80">
        <x:is>
          <x:t>ILLUSTRATION</x:t>
        </x:is>
      </x:c>
      <x:c t="inlineStr" r="BC80">
        <x:is>
          <x:t>advertising</x:t>
        </x:is>
      </x:c>
      <x:c r="BD80">
        <x:f>HYPERLINK("https://pbs.twimg.com/media/HQCMNDrWMAAskRN.jpg")</x:f>
      </x:c>
      <x:c t="inlineStr" r="BE80">
        <x:is>
          <x:t/>
        </x:is>
      </x:c>
      <x:c t="inlineStr" r="BF80">
        <x:is>
          <x:t>Não</x:t>
        </x:is>
      </x:c>
      <x:c t="inlineStr" r="BG80"/>
      <x:c t="inlineStr" r="BH80">
        <x:is>
          <x:t/>
        </x:is>
      </x:c>
      <x:c t="inlineStr" r="BI80">
        <x:is>
          <x:t>Giveaway</x:t>
        </x:is>
      </x:c>
      <x:c t="inlineStr" r="BJ80"/>
      <x:c t="inlineStr" r="BK80">
        <x:is>
          <x:t>Franquia - Jet Oil,Franquia - AmPm,Ipimax,Campanha: Parada Completa,Ipiranga,App KMV,Rock In Rio</x:t>
        </x:is>
      </x:c>
      <x:c t="inlineStr" r="BL80"/>
      <x:c t="inlineStr" r="BM80"/>
      <x:c t="inlineStr" r="BN80"/>
      <x:c t="inlineStr" r="BO80"/>
      <x:c t="inlineStr" r="BP80"/>
      <x:c t="inlineStr" r="BQ80"/>
      <x:c t="inlineStr" r="BR80"/>
      <x:c t="inlineStr" r="BS80"/>
      <x:c t="inlineStr" r="BT80"/>
      <x:c t="inlineStr" r="BU80"/>
      <x:c t="inlineStr" r="BV80">
        <x:is>
          <x:t>Franquia - AmPm</x:t>
        </x:is>
      </x:c>
      <x:c t="inlineStr" r="BW80">
        <x:is>
          <x:t>Ipimax</x:t>
        </x:is>
      </x:c>
      <x:c t="inlineStr" r="BX80">
        <x:is>
          <x:t>Franquia - Jet Oil</x:t>
        </x:is>
      </x:c>
      <x:c t="inlineStr" r="BY80">
        <x:is>
          <x:t>Campanha: Parada Completa</x:t>
        </x:is>
      </x:c>
      <x:c t="inlineStr" r="BZ80">
        <x:is>
          <x:t>Ipiranga</x:t>
        </x:is>
      </x:c>
      <x:c t="inlineStr" r="CA80"/>
      <x:c t="inlineStr" r="CB80"/>
      <x:c t="inlineStr" r="CC80"/>
      <x:c t="inlineStr" r="CD80">
        <x:is>
          <x:t>App KMV</x:t>
        </x:is>
      </x:c>
      <x:c t="inlineStr" r="CE80">
        <x:is>
          <x:t>Rock In Rio</x:t>
        </x:is>
      </x:c>
      <x:c t="inlineStr" r="CF80"/>
    </x:row>
    <x:row r="81">
      <x:c t="n" r="A81">
        <x:v>1084154158</x:v>
      </x:c>
      <x:c t="inlineStr" r="B81">
        <x:is>
          <x:t>27.08.2026</x:t>
        </x:is>
      </x:c>
      <x:c t="inlineStr" r="C81">
        <x:is>
          <x:t>17:47</x:t>
        </x:is>
      </x:c>
      <x:c t="inlineStr" r="D81">
        <x:is>
          <x:t>28.08.2026 00:15</x:t>
        </x:is>
      </x:c>
      <x:c t="inlineStr" r="E81">
        <x:is>
          <x:t/>
        </x:is>
      </x:c>
      <x:c t="str" r="F81">
        <x:v>🔥 Quem estava contando os dias já pode comemorar: os ingressos de gramado estão disponíveis no app KMV.
🎟️ Resgate seu ingresso de gramado para o Rock In Rio Brasil 2026 usando seus pontos + dinheiro e ganhe R$ 100 em vale-combustível.
🚗 Passe no Posto Ipiranga para uma Parada Completa: abasteça com Ipimax, aproveite a AmPm ou dê aquele cuidado no carro no Jet Oil e fique preparado para curtir o melhor do festival.
#Ipiranga #KMV #RockinRio2026</x:v>
      </x:c>
      <x:c t="inlineStr" r="G81">
        <x:is>
          <x:t/>
        </x:is>
      </x:c>
      <x:c t="inlineStr" r="H81"/>
      <x:c t="inlineStr" r="I81">
        <x:is>
          <x:t>Repost</x:t>
        </x:is>
      </x:c>
      <x:c t="inlineStr" r="J81">
        <x:is>
          <x:t>Imagem,Álbum,Texto</x:t>
        </x:is>
      </x:c>
      <x:c t="inlineStr" r="K81"/>
      <x:c r="L81">
        <x:f>HYPERLINK("https://x.com/hyunbuchinho/status/2093077868578218211")</x:f>
      </x:c>
      <x:c t="inlineStr" r="M81">
        <x:is>
          <x:t>Negativo</x:t>
        </x:is>
      </x:c>
      <x:c t="inlineStr" r="N81">
        <x:is>
          <x:t>isa</x:t>
        </x:is>
      </x:c>
      <x:c t="inlineStr" r="O81">
        <x:is>
          <x:t>hyunbuchinho</x:t>
        </x:is>
      </x:c>
      <x:c r="P81">
        <x:f>HYPERLINK("http://x.com/hyunbuchinho")</x:f>
      </x:c>
      <x:c t="n" r="Q81">
        <x:v>8</x:v>
      </x:c>
      <x:c t="inlineStr" r="R81"/>
      <x:c t="inlineStr" r="S81"/>
      <x:c t="inlineStr" r="T81">
        <x:is>
          <x:t>x.com</x:t>
        </x:is>
      </x:c>
      <x:c t="inlineStr" r="U81"/>
      <x:c t="inlineStr" r="V81"/>
      <x:c t="inlineStr" r="W81"/>
      <x:c t="inlineStr" r="X81"/>
      <x:c t="inlineStr" r="Y81">
        <x:is>
          <x:t>Rede social</x:t>
        </x:is>
      </x:c>
      <x:c t="inlineStr" r="Z81">
        <x:is>
          <x:t>Português</x:t>
        </x:is>
      </x:c>
      <x:c t="inlineStr" r="AA81">
        <x:is>
          <x:t>Brasil</x:t>
        </x:is>
      </x:c>
      <x:c t="inlineStr" r="AB81"/>
      <x:c t="inlineStr" r="AC81"/>
      <x:c t="inlineStr" r="AD81"/>
      <x:c t="inlineStr" r="AE81"/>
      <x:c t="n" r="AF81">
        <x:v>0</x:v>
      </x:c>
      <x:c t="inlineStr" r="AG81"/>
      <x:c t="inlineStr" r="AH81"/>
      <x:c t="inlineStr" r="AI81"/>
      <x:c t="inlineStr" r="AJ81"/>
      <x:c t="inlineStr" r="AK81"/>
      <x:c t="inlineStr" r="AL81"/>
      <x:c t="inlineStr" r="AM81"/>
      <x:c t="inlineStr" r="AN81"/>
      <x:c t="inlineStr" r="AO81"/>
      <x:c t="inlineStr" r="AP81"/>
      <x:c t="inlineStr" r="AQ81"/>
      <x:c t="inlineStr" r="AR81"/>
      <x:c t="inlineStr" r="AS81"/>
      <x:c t="inlineStr" r="AT81"/>
      <x:c t="n" r="AU81">
        <x:v>8</x:v>
      </x:c>
      <x:c t="inlineStr" r="AV81"/>
      <x:c t="inlineStr" r="AW81">
        <x:is>
          <x:t/>
        </x:is>
      </x:c>
      <x:c t="inlineStr" r="AX81">
        <x:is>
          <x:t>text</x:t>
        </x:is>
      </x:c>
      <x:c t="inlineStr" r="AY81">
        <x:is>
          <x:t/>
        </x:is>
      </x:c>
      <x:c t="inlineStr" r="AZ81">
        <x:is>
          <x:t/>
        </x:is>
      </x:c>
      <x:c t="inlineStr" r="BA81">
        <x:is>
          <x:t/>
        </x:is>
      </x:c>
      <x:c t="inlineStr" r="BB81">
        <x:is>
          <x:t>ILLUSTRATION</x:t>
        </x:is>
      </x:c>
      <x:c t="inlineStr" r="BC81">
        <x:is>
          <x:t>advertising</x:t>
        </x:is>
      </x:c>
      <x:c r="BD81">
        <x:f>HYPERLINK("https://pbs.twimg.com/media/HQCMNDrWMAAskRN.jpg")</x:f>
      </x:c>
      <x:c t="inlineStr" r="BE81">
        <x:is>
          <x:t/>
        </x:is>
      </x:c>
      <x:c t="inlineStr" r="BF81">
        <x:is>
          <x:t>Não</x:t>
        </x:is>
      </x:c>
      <x:c t="inlineStr" r="BG81"/>
      <x:c t="inlineStr" r="BH81">
        <x:is>
          <x:t/>
        </x:is>
      </x:c>
      <x:c t="inlineStr" r="BI81">
        <x:is>
          <x:t>Giveaway</x:t>
        </x:is>
      </x:c>
      <x:c t="inlineStr" r="BJ81"/>
      <x:c t="inlineStr" r="BK81">
        <x:is>
          <x:t>Franquia - Jet Oil,Franquia - AmPm,Ipimax,Campanha: Parada Completa,Ipiranga,App KMV,Rock In Rio</x:t>
        </x:is>
      </x:c>
      <x:c t="inlineStr" r="BL81"/>
      <x:c t="inlineStr" r="BM81"/>
      <x:c t="inlineStr" r="BN81"/>
      <x:c t="inlineStr" r="BO81"/>
      <x:c t="inlineStr" r="BP81"/>
      <x:c t="inlineStr" r="BQ81"/>
      <x:c t="inlineStr" r="BR81"/>
      <x:c t="inlineStr" r="BS81"/>
      <x:c t="inlineStr" r="BT81"/>
      <x:c t="inlineStr" r="BU81"/>
      <x:c t="inlineStr" r="BV81">
        <x:is>
          <x:t>Franquia - AmPm</x:t>
        </x:is>
      </x:c>
      <x:c t="inlineStr" r="BW81">
        <x:is>
          <x:t>Ipimax</x:t>
        </x:is>
      </x:c>
      <x:c t="inlineStr" r="BX81">
        <x:is>
          <x:t>Franquia - Jet Oil</x:t>
        </x:is>
      </x:c>
      <x:c t="inlineStr" r="BY81">
        <x:is>
          <x:t>Campanha: Parada Completa</x:t>
        </x:is>
      </x:c>
      <x:c t="inlineStr" r="BZ81">
        <x:is>
          <x:t>Ipiranga</x:t>
        </x:is>
      </x:c>
      <x:c t="inlineStr" r="CA81"/>
      <x:c t="inlineStr" r="CB81"/>
      <x:c t="inlineStr" r="CC81"/>
      <x:c t="inlineStr" r="CD81">
        <x:is>
          <x:t>App KMV</x:t>
        </x:is>
      </x:c>
      <x:c t="inlineStr" r="CE81">
        <x:is>
          <x:t>Rock In Rio</x:t>
        </x:is>
      </x:c>
      <x:c t="inlineStr" r="CF81"/>
    </x:row>
    <x:row r="82">
      <x:c t="n" r="A82">
        <x:v>1117924811</x:v>
      </x:c>
      <x:c t="inlineStr" r="B82">
        <x:is>
          <x:t>27.08.2026</x:t>
        </x:is>
      </x:c>
      <x:c t="inlineStr" r="C82">
        <x:is>
          <x:t>17:36</x:t>
        </x:is>
      </x:c>
      <x:c t="inlineStr" r="D82">
        <x:is>
          <x:t>28.08.2026 12:46</x:t>
        </x:is>
      </x:c>
      <x:c t="inlineStr" r="E82">
        <x:is>
          <x:t/>
        </x:is>
      </x:c>
      <x:c t="str" r="F82">
        <x:v>🔥 Quem estava contando os dias já pode comemorar: os ingressos de gramado estão disponíveis no app KMV.
🎟️ Resgate seu ingresso de gramado para o Rock In Rio Brasil 2026 usando seus pontos + dinheiro e ganhe R$ 100 em vale-combustível.
🚗 Passe no Posto Ipiranga para uma Parada Completa: abasteça com Ipimax, aproveite a AmPm ou dê aquele cuidado no carro no Jet Oil e fique preparado para curtir o melhor do festival.
#Ipiranga #KMV #RockinRio2026</x:v>
      </x:c>
      <x:c t="inlineStr" r="G82">
        <x:is>
          <x:t/>
        </x:is>
      </x:c>
      <x:c t="inlineStr" r="H82"/>
      <x:c t="inlineStr" r="I82">
        <x:is>
          <x:t>Repost</x:t>
        </x:is>
      </x:c>
      <x:c t="inlineStr" r="J82">
        <x:is>
          <x:t>Imagem,Álbum,Texto</x:t>
        </x:is>
      </x:c>
      <x:c t="inlineStr" r="K82"/>
      <x:c r="L82">
        <x:f>HYPERLINK("https://x.com/minnievascaino/status/2093075086689423418")</x:f>
      </x:c>
      <x:c t="inlineStr" r="M82">
        <x:is>
          <x:t>Negativo</x:t>
        </x:is>
      </x:c>
      <x:c t="inlineStr" r="N82">
        <x:is>
          <x:t>boo ✨ VAI VER O SKZ</x:t>
        </x:is>
      </x:c>
      <x:c t="inlineStr" r="O82">
        <x:is>
          <x:t>minnievascaino</x:t>
        </x:is>
      </x:c>
      <x:c r="P82">
        <x:f>HYPERLINK("http://x.com/minnievascaino")</x:f>
      </x:c>
      <x:c t="n" r="Q82">
        <x:v>91</x:v>
      </x:c>
      <x:c t="inlineStr" r="R82"/>
      <x:c t="inlineStr" r="S82"/>
      <x:c t="inlineStr" r="T82">
        <x:is>
          <x:t>x.com</x:t>
        </x:is>
      </x:c>
      <x:c t="inlineStr" r="U82"/>
      <x:c t="inlineStr" r="V82"/>
      <x:c t="inlineStr" r="W82"/>
      <x:c t="inlineStr" r="X82"/>
      <x:c t="inlineStr" r="Y82">
        <x:is>
          <x:t>Rede social</x:t>
        </x:is>
      </x:c>
      <x:c t="inlineStr" r="Z82">
        <x:is>
          <x:t>Português</x:t>
        </x:is>
      </x:c>
      <x:c t="inlineStr" r="AA82">
        <x:is>
          <x:t>Brasil</x:t>
        </x:is>
      </x:c>
      <x:c t="inlineStr" r="AB82"/>
      <x:c t="inlineStr" r="AC82"/>
      <x:c t="inlineStr" r="AD82"/>
      <x:c t="inlineStr" r="AE82"/>
      <x:c t="n" r="AF82">
        <x:v>0</x:v>
      </x:c>
      <x:c t="inlineStr" r="AG82"/>
      <x:c t="inlineStr" r="AH82"/>
      <x:c t="inlineStr" r="AI82"/>
      <x:c t="inlineStr" r="AJ82"/>
      <x:c t="inlineStr" r="AK82"/>
      <x:c t="inlineStr" r="AL82"/>
      <x:c t="inlineStr" r="AM82"/>
      <x:c t="inlineStr" r="AN82"/>
      <x:c t="inlineStr" r="AO82"/>
      <x:c t="inlineStr" r="AP82"/>
      <x:c t="inlineStr" r="AQ82"/>
      <x:c t="inlineStr" r="AR82"/>
      <x:c t="inlineStr" r="AS82"/>
      <x:c t="inlineStr" r="AT82"/>
      <x:c t="n" r="AU82">
        <x:v>91</x:v>
      </x:c>
      <x:c t="inlineStr" r="AV82"/>
      <x:c t="inlineStr" r="AW82">
        <x:is>
          <x:t/>
        </x:is>
      </x:c>
      <x:c t="inlineStr" r="AX82">
        <x:is>
          <x:t>text</x:t>
        </x:is>
      </x:c>
      <x:c t="inlineStr" r="AY82">
        <x:is>
          <x:t/>
        </x:is>
      </x:c>
      <x:c t="inlineStr" r="AZ82">
        <x:is>
          <x:t/>
        </x:is>
      </x:c>
      <x:c t="inlineStr" r="BA82">
        <x:is>
          <x:t/>
        </x:is>
      </x:c>
      <x:c t="inlineStr" r="BB82">
        <x:is>
          <x:t>ILLUSTRATION</x:t>
        </x:is>
      </x:c>
      <x:c t="inlineStr" r="BC82">
        <x:is>
          <x:t>advertising</x:t>
        </x:is>
      </x:c>
      <x:c r="BD82">
        <x:f>HYPERLINK("https://pbs.twimg.com/media/HQCMNDrWMAAskRN.jpg")</x:f>
      </x:c>
      <x:c t="inlineStr" r="BE82">
        <x:is>
          <x:t/>
        </x:is>
      </x:c>
      <x:c t="inlineStr" r="BF82">
        <x:is>
          <x:t>Não</x:t>
        </x:is>
      </x:c>
      <x:c t="inlineStr" r="BG82"/>
      <x:c t="inlineStr" r="BH82">
        <x:is>
          <x:t/>
        </x:is>
      </x:c>
      <x:c t="inlineStr" r="BI82">
        <x:is>
          <x:t>Giveaway</x:t>
        </x:is>
      </x:c>
      <x:c t="inlineStr" r="BJ82"/>
      <x:c t="inlineStr" r="BK82">
        <x:is>
          <x:t>Franquia - Jet Oil,Franquia - AmPm,Ipimax,Campanha: Parada Completa,Ipiranga,App KMV,Rock In Rio</x:t>
        </x:is>
      </x:c>
      <x:c t="inlineStr" r="BL82"/>
      <x:c t="inlineStr" r="BM82"/>
      <x:c t="inlineStr" r="BN82"/>
      <x:c t="inlineStr" r="BO82"/>
      <x:c t="inlineStr" r="BP82"/>
      <x:c t="inlineStr" r="BQ82"/>
      <x:c t="inlineStr" r="BR82"/>
      <x:c t="inlineStr" r="BS82"/>
      <x:c t="inlineStr" r="BT82"/>
      <x:c t="inlineStr" r="BU82"/>
      <x:c t="inlineStr" r="BV82">
        <x:is>
          <x:t>Franquia - AmPm</x:t>
        </x:is>
      </x:c>
      <x:c t="inlineStr" r="BW82">
        <x:is>
          <x:t>Ipimax</x:t>
        </x:is>
      </x:c>
      <x:c t="inlineStr" r="BX82">
        <x:is>
          <x:t>Franquia - Jet Oil</x:t>
        </x:is>
      </x:c>
      <x:c t="inlineStr" r="BY82">
        <x:is>
          <x:t>Campanha: Parada Completa</x:t>
        </x:is>
      </x:c>
      <x:c t="inlineStr" r="BZ82">
        <x:is>
          <x:t>Ipiranga</x:t>
        </x:is>
      </x:c>
      <x:c t="inlineStr" r="CA82"/>
      <x:c t="inlineStr" r="CB82"/>
      <x:c t="inlineStr" r="CC82"/>
      <x:c t="inlineStr" r="CD82">
        <x:is>
          <x:t>App KMV</x:t>
        </x:is>
      </x:c>
      <x:c t="inlineStr" r="CE82">
        <x:is>
          <x:t>Rock In Rio</x:t>
        </x:is>
      </x:c>
      <x:c t="inlineStr" r="CF82"/>
    </x:row>
    <x:row r="83">
      <x:c t="n" r="A83">
        <x:v>2372938680</x:v>
      </x:c>
      <x:c t="inlineStr" r="B83">
        <x:is>
          <x:t>27.08.2026</x:t>
        </x:is>
      </x:c>
      <x:c t="inlineStr" r="C83">
        <x:is>
          <x:t>17:34</x:t>
        </x:is>
      </x:c>
      <x:c t="inlineStr" r="D83">
        <x:is>
          <x:t>28.08.2026 01:56</x:t>
        </x:is>
      </x:c>
      <x:c t="inlineStr" r="E83">
        <x:is>
          <x:t/>
        </x:is>
      </x:c>
      <x:c t="str" r="F83">
        <x:v>🔥 Os grandes momentos começam muito antes do show. Eles começam quando você garante seu ingresso. 
🎟️ Os ingressos para o Rock in Rio Brasil 2026 já estão disponíveis no app KMV.
Resgate usando pontos + dinheiro e ainda ganhe R$ 100 em vale-combustível. 
Depois, é só fazer aquela Parada Completa no Posto Ipiranga e se preparar para curtir  o festival. 
#Ipiranga #KMV #RockinRio2026</x:v>
      </x:c>
      <x:c t="inlineStr" r="G83">
        <x:is>
          <x:t/>
        </x:is>
      </x:c>
      <x:c t="inlineStr" r="H83"/>
      <x:c t="inlineStr" r="I83">
        <x:is>
          <x:t>Repost</x:t>
        </x:is>
      </x:c>
      <x:c t="inlineStr" r="J83">
        <x:is>
          <x:t>Imagem,Álbum,Texto</x:t>
        </x:is>
      </x:c>
      <x:c t="inlineStr" r="K83"/>
      <x:c r="L83">
        <x:f>HYPERLINK("https://x.com/mercuryactii/status/2093074615514144899")</x:f>
      </x:c>
      <x:c t="inlineStr" r="M83">
        <x:is>
          <x:t>Negativo</x:t>
        </x:is>
      </x:c>
      <x:c t="inlineStr" r="N83">
        <x:is>
          <x:t>h</x:t>
        </x:is>
      </x:c>
      <x:c t="inlineStr" r="O83">
        <x:is>
          <x:t>mercuryactii</x:t>
        </x:is>
      </x:c>
      <x:c r="P83">
        <x:f>HYPERLINK("http://x.com/mercuryactii")</x:f>
      </x:c>
      <x:c t="n" r="Q83">
        <x:v>709</x:v>
      </x:c>
      <x:c t="inlineStr" r="R83"/>
      <x:c t="inlineStr" r="S83"/>
      <x:c t="inlineStr" r="T83">
        <x:is>
          <x:t>x.com</x:t>
        </x:is>
      </x:c>
      <x:c t="inlineStr" r="U83"/>
      <x:c t="inlineStr" r="V83"/>
      <x:c t="inlineStr" r="W83"/>
      <x:c t="inlineStr" r="X83"/>
      <x:c t="inlineStr" r="Y83">
        <x:is>
          <x:t>Rede social</x:t>
        </x:is>
      </x:c>
      <x:c t="inlineStr" r="Z83">
        <x:is>
          <x:t>Português</x:t>
        </x:is>
      </x:c>
      <x:c t="inlineStr" r="AA83">
        <x:is>
          <x:t>Brasil</x:t>
        </x:is>
      </x:c>
      <x:c t="inlineStr" r="AB83"/>
      <x:c t="inlineStr" r="AC83"/>
      <x:c t="inlineStr" r="AD83"/>
      <x:c t="inlineStr" r="AE83"/>
      <x:c t="n" r="AF83">
        <x:v>0</x:v>
      </x:c>
      <x:c t="inlineStr" r="AG83"/>
      <x:c t="inlineStr" r="AH83"/>
      <x:c t="inlineStr" r="AI83"/>
      <x:c t="inlineStr" r="AJ83"/>
      <x:c t="inlineStr" r="AK83"/>
      <x:c t="inlineStr" r="AL83"/>
      <x:c t="inlineStr" r="AM83"/>
      <x:c t="inlineStr" r="AN83"/>
      <x:c t="inlineStr" r="AO83"/>
      <x:c t="inlineStr" r="AP83"/>
      <x:c t="inlineStr" r="AQ83"/>
      <x:c t="inlineStr" r="AR83"/>
      <x:c t="inlineStr" r="AS83"/>
      <x:c t="inlineStr" r="AT83"/>
      <x:c t="n" r="AU83">
        <x:v>709</x:v>
      </x:c>
      <x:c t="inlineStr" r="AV83"/>
      <x:c t="inlineStr" r="AW83">
        <x:is>
          <x:t/>
        </x:is>
      </x:c>
      <x:c t="inlineStr" r="AX83">
        <x:is>
          <x:t>text,poster</x:t>
        </x:is>
      </x:c>
      <x:c t="inlineStr" r="AY83">
        <x:is>
          <x:t/>
        </x:is>
      </x:c>
      <x:c t="inlineStr" r="AZ83">
        <x:is>
          <x:t/>
        </x:is>
      </x:c>
      <x:c t="inlineStr" r="BA83">
        <x:is>
          <x:t/>
        </x:is>
      </x:c>
      <x:c t="inlineStr" r="BB83">
        <x:is>
          <x:t>ILLUSTRATION</x:t>
        </x:is>
      </x:c>
      <x:c t="inlineStr" r="BC83">
        <x:is>
          <x:t>graphics</x:t>
        </x:is>
      </x:c>
      <x:c r="BD83">
        <x:f>HYPERLINK("https://pbs.twimg.com/media/HQq-7UaX0AAcGzD.jpg")</x:f>
      </x:c>
      <x:c t="inlineStr" r="BE83">
        <x:is>
          <x:t/>
        </x:is>
      </x:c>
      <x:c t="inlineStr" r="BF83">
        <x:is>
          <x:t>Não</x:t>
        </x:is>
      </x:c>
      <x:c t="inlineStr" r="BG83"/>
      <x:c t="inlineStr" r="BH83">
        <x:is>
          <x:t/>
        </x:is>
      </x:c>
      <x:c t="inlineStr" r="BI83">
        <x:is>
          <x:t>Promoção</x:t>
        </x:is>
      </x:c>
      <x:c t="inlineStr" r="BJ83">
        <x:is>
          <x:t>O Rock in Rio começa semana que vem e por aqui a ansiedade já está ON!</x:t>
        </x:is>
      </x:c>
      <x:c t="inlineStr" r="BK83">
        <x:is>
          <x:t>Campanha: Parada Completa,Ipiranga,App KMV,Rock In Rio</x:t>
        </x:is>
      </x:c>
      <x:c t="inlineStr" r="BL83"/>
      <x:c t="inlineStr" r="BM83"/>
      <x:c t="inlineStr" r="BN83"/>
      <x:c t="inlineStr" r="BO83"/>
      <x:c t="inlineStr" r="BP83"/>
      <x:c t="inlineStr" r="BQ83"/>
      <x:c t="inlineStr" r="BR83"/>
      <x:c t="inlineStr" r="BS83"/>
      <x:c t="inlineStr" r="BT83"/>
      <x:c t="inlineStr" r="BU83"/>
      <x:c t="inlineStr" r="BV83"/>
      <x:c t="inlineStr" r="BW83"/>
      <x:c t="inlineStr" r="BX83"/>
      <x:c t="inlineStr" r="BY83">
        <x:is>
          <x:t>Campanha: Parada Completa</x:t>
        </x:is>
      </x:c>
      <x:c t="inlineStr" r="BZ83">
        <x:is>
          <x:t>Ipiranga</x:t>
        </x:is>
      </x:c>
      <x:c t="inlineStr" r="CA83"/>
      <x:c t="inlineStr" r="CB83"/>
      <x:c t="inlineStr" r="CC83"/>
      <x:c t="inlineStr" r="CD83">
        <x:is>
          <x:t>App KMV</x:t>
        </x:is>
      </x:c>
      <x:c t="inlineStr" r="CE83">
        <x:is>
          <x:t>Rock In Rio</x:t>
        </x:is>
      </x:c>
      <x:c t="inlineStr" r="CF83"/>
    </x:row>
    <x:row r="84">
      <x:c t="n" r="A84">
        <x:v>1928020828</x:v>
      </x:c>
      <x:c t="inlineStr" r="B84">
        <x:is>
          <x:t>27.08.2026</x:t>
        </x:is>
      </x:c>
      <x:c t="inlineStr" r="C84">
        <x:is>
          <x:t>17:14</x:t>
        </x:is>
      </x:c>
      <x:c t="inlineStr" r="D84">
        <x:is>
          <x:t>28.08.2026 13:23</x:t>
        </x:is>
      </x:c>
      <x:c t="inlineStr" r="E84">
        <x:is>
          <x:t/>
        </x:is>
      </x:c>
      <x:c t="str" r="F84">
        <x:v>🔥 Quem estava contando os dias já pode comemorar: os ingressos de gramado estão disponíveis no app KMV.
🎟️ Resgate seu ingresso de gramado para o Rock In Rio Brasil 2026 usando seus pontos + dinheiro e ganhe R$ 100 em vale-combustível.
🚗 Passe no Posto Ipiranga para uma Parada Completa: abasteça com Ipimax, aproveite a AmPm ou dê aquele cuidado no carro no Jet Oil e fique preparado para curtir o melhor do festival.
#Ipiranga #KMV #RockinRio2026</x:v>
      </x:c>
      <x:c t="inlineStr" r="G84">
        <x:is>
          <x:t/>
        </x:is>
      </x:c>
      <x:c t="inlineStr" r="H84"/>
      <x:c t="inlineStr" r="I84">
        <x:is>
          <x:t>Repost</x:t>
        </x:is>
      </x:c>
      <x:c t="inlineStr" r="J84">
        <x:is>
          <x:t>Imagem,Álbum,Texto</x:t>
        </x:is>
      </x:c>
      <x:c t="inlineStr" r="K84"/>
      <x:c r="L84">
        <x:f>HYPERLINK("https://x.com/antigasvngracha/status/2093069586337784047")</x:f>
      </x:c>
      <x:c t="inlineStr" r="M84">
        <x:is>
          <x:t>Negativo</x:t>
        </x:is>
      </x:c>
      <x:c t="inlineStr" r="N84">
        <x:is>
          <x:t>Juju &amp; That</x:t>
        </x:is>
      </x:c>
      <x:c t="inlineStr" r="O84">
        <x:is>
          <x:t>antigasvngracha</x:t>
        </x:is>
      </x:c>
      <x:c r="P84">
        <x:f>HYPERLINK("http://x.com/antigasvngracha")</x:f>
      </x:c>
      <x:c t="n" r="Q84">
        <x:v>28</x:v>
      </x:c>
      <x:c t="inlineStr" r="R84"/>
      <x:c t="inlineStr" r="S84"/>
      <x:c t="inlineStr" r="T84">
        <x:is>
          <x:t>x.com</x:t>
        </x:is>
      </x:c>
      <x:c t="inlineStr" r="U84"/>
      <x:c t="inlineStr" r="V84"/>
      <x:c t="inlineStr" r="W84"/>
      <x:c t="inlineStr" r="X84"/>
      <x:c t="inlineStr" r="Y84">
        <x:is>
          <x:t>Rede social</x:t>
        </x:is>
      </x:c>
      <x:c t="inlineStr" r="Z84">
        <x:is>
          <x:t>Português</x:t>
        </x:is>
      </x:c>
      <x:c t="inlineStr" r="AA84">
        <x:is>
          <x:t>Brasil</x:t>
        </x:is>
      </x:c>
      <x:c t="inlineStr" r="AB84"/>
      <x:c t="inlineStr" r="AC84"/>
      <x:c t="inlineStr" r="AD84"/>
      <x:c t="inlineStr" r="AE84"/>
      <x:c t="n" r="AF84">
        <x:v>0</x:v>
      </x:c>
      <x:c t="inlineStr" r="AG84"/>
      <x:c t="inlineStr" r="AH84"/>
      <x:c t="inlineStr" r="AI84"/>
      <x:c t="inlineStr" r="AJ84"/>
      <x:c t="inlineStr" r="AK84"/>
      <x:c t="inlineStr" r="AL84"/>
      <x:c t="inlineStr" r="AM84"/>
      <x:c t="inlineStr" r="AN84"/>
      <x:c t="inlineStr" r="AO84"/>
      <x:c t="inlineStr" r="AP84"/>
      <x:c t="inlineStr" r="AQ84"/>
      <x:c t="inlineStr" r="AR84"/>
      <x:c t="inlineStr" r="AS84"/>
      <x:c t="inlineStr" r="AT84"/>
      <x:c t="n" r="AU84">
        <x:v>28</x:v>
      </x:c>
      <x:c t="inlineStr" r="AV84"/>
      <x:c t="inlineStr" r="AW84">
        <x:is>
          <x:t/>
        </x:is>
      </x:c>
      <x:c t="inlineStr" r="AX84">
        <x:is>
          <x:t>text</x:t>
        </x:is>
      </x:c>
      <x:c t="inlineStr" r="AY84">
        <x:is>
          <x:t/>
        </x:is>
      </x:c>
      <x:c t="inlineStr" r="AZ84">
        <x:is>
          <x:t/>
        </x:is>
      </x:c>
      <x:c t="inlineStr" r="BA84">
        <x:is>
          <x:t/>
        </x:is>
      </x:c>
      <x:c t="inlineStr" r="BB84">
        <x:is>
          <x:t>ILLUSTRATION</x:t>
        </x:is>
      </x:c>
      <x:c t="inlineStr" r="BC84">
        <x:is>
          <x:t>advertising</x:t>
        </x:is>
      </x:c>
      <x:c r="BD84">
        <x:f>HYPERLINK("https://pbs.twimg.com/media/HQCMNDrWMAAskRN.jpg")</x:f>
      </x:c>
      <x:c t="inlineStr" r="BE84">
        <x:is>
          <x:t/>
        </x:is>
      </x:c>
      <x:c t="inlineStr" r="BF84">
        <x:is>
          <x:t>Não</x:t>
        </x:is>
      </x:c>
      <x:c t="inlineStr" r="BG84"/>
      <x:c t="inlineStr" r="BH84">
        <x:is>
          <x:t/>
        </x:is>
      </x:c>
      <x:c t="inlineStr" r="BI84">
        <x:is>
          <x:t>Giveaway</x:t>
        </x:is>
      </x:c>
      <x:c t="inlineStr" r="BJ84"/>
      <x:c t="inlineStr" r="BK84">
        <x:is>
          <x:t>Franquia - Jet Oil,Franquia - AmPm,Ipimax,Campanha: Parada Completa,Ipiranga,App KMV,Rock In Rio</x:t>
        </x:is>
      </x:c>
      <x:c t="inlineStr" r="BL84"/>
      <x:c t="inlineStr" r="BM84"/>
      <x:c t="inlineStr" r="BN84"/>
      <x:c t="inlineStr" r="BO84"/>
      <x:c t="inlineStr" r="BP84"/>
      <x:c t="inlineStr" r="BQ84"/>
      <x:c t="inlineStr" r="BR84"/>
      <x:c t="inlineStr" r="BS84"/>
      <x:c t="inlineStr" r="BT84"/>
      <x:c t="inlineStr" r="BU84"/>
      <x:c t="inlineStr" r="BV84">
        <x:is>
          <x:t>Franquia - AmPm</x:t>
        </x:is>
      </x:c>
      <x:c t="inlineStr" r="BW84">
        <x:is>
          <x:t>Ipimax</x:t>
        </x:is>
      </x:c>
      <x:c t="inlineStr" r="BX84">
        <x:is>
          <x:t>Franquia - Jet Oil</x:t>
        </x:is>
      </x:c>
      <x:c t="inlineStr" r="BY84">
        <x:is>
          <x:t>Campanha: Parada Completa</x:t>
        </x:is>
      </x:c>
      <x:c t="inlineStr" r="BZ84">
        <x:is>
          <x:t>Ipiranga</x:t>
        </x:is>
      </x:c>
      <x:c t="inlineStr" r="CA84"/>
      <x:c t="inlineStr" r="CB84"/>
      <x:c t="inlineStr" r="CC84"/>
      <x:c t="inlineStr" r="CD84">
        <x:is>
          <x:t>App KMV</x:t>
        </x:is>
      </x:c>
      <x:c t="inlineStr" r="CE84">
        <x:is>
          <x:t>Rock In Rio</x:t>
        </x:is>
      </x:c>
      <x:c t="inlineStr" r="CF84"/>
    </x:row>
    <x:row r="85">
      <x:c t="n" r="A85">
        <x:v>2789133043</x:v>
      </x:c>
      <x:c t="inlineStr" r="B85">
        <x:is>
          <x:t>27.08.2026</x:t>
        </x:is>
      </x:c>
      <x:c t="inlineStr" r="C85">
        <x:is>
          <x:t>17:13</x:t>
        </x:is>
      </x:c>
      <x:c t="inlineStr" r="D85">
        <x:is>
          <x:t>28.08.2026 08:32</x:t>
        </x:is>
      </x:c>
      <x:c t="inlineStr" r="E85">
        <x:is>
          <x:t/>
        </x:is>
      </x:c>
      <x:c t="str" r="F85">
        <x:v>🔥 Quem estava contando os dias já pode comemorar: os ingressos de gramado estão disponíveis no app KMV.
🎟️ Resgate seu ingresso de gramado para o Rock In Rio Brasil 2026 usando seus pontos + dinheiro e ganhe R$ 100 em vale-combustível.
🚗 Passe no Posto Ipiranga para uma Parada Completa: abasteça com Ipimax, aproveite a AmPm ou dê aquele cuidado no carro no Jet Oil e fique preparado para curtir o melhor do festival.
#Ipiranga #KMV #RockinRio2026</x:v>
      </x:c>
      <x:c t="inlineStr" r="G85">
        <x:is>
          <x:t/>
        </x:is>
      </x:c>
      <x:c t="inlineStr" r="H85"/>
      <x:c t="inlineStr" r="I85">
        <x:is>
          <x:t>Repost</x:t>
        </x:is>
      </x:c>
      <x:c t="inlineStr" r="J85">
        <x:is>
          <x:t>Imagem,Álbum,Texto</x:t>
        </x:is>
      </x:c>
      <x:c t="inlineStr" r="K85"/>
      <x:c r="L85">
        <x:f>HYPERLINK("https://x.com/ninehnlx/status/2093069464522682807")</x:f>
      </x:c>
      <x:c t="inlineStr" r="M85">
        <x:is>
          <x:t>Negativo</x:t>
        </x:is>
      </x:c>
      <x:c t="inlineStr" r="N85">
        <x:is>
          <x:t>nine &amp; that</x:t>
        </x:is>
      </x:c>
      <x:c t="inlineStr" r="O85">
        <x:is>
          <x:t>ninehnlx</x:t>
        </x:is>
      </x:c>
      <x:c r="P85">
        <x:f>HYPERLINK("http://x.com/ninehnlx")</x:f>
      </x:c>
      <x:c t="n" r="Q85">
        <x:v>791</x:v>
      </x:c>
      <x:c t="inlineStr" r="R85">
        <x:is>
          <x:t>Mulher</x:t>
        </x:is>
      </x:c>
      <x:c t="inlineStr" r="S85"/>
      <x:c t="inlineStr" r="T85">
        <x:is>
          <x:t>x.com</x:t>
        </x:is>
      </x:c>
      <x:c t="inlineStr" r="U85"/>
      <x:c t="inlineStr" r="V85"/>
      <x:c t="inlineStr" r="W85"/>
      <x:c t="inlineStr" r="X85"/>
      <x:c t="inlineStr" r="Y85">
        <x:is>
          <x:t>Rede social</x:t>
        </x:is>
      </x:c>
      <x:c t="inlineStr" r="Z85">
        <x:is>
          <x:t>Português</x:t>
        </x:is>
      </x:c>
      <x:c t="inlineStr" r="AA85">
        <x:is>
          <x:t>Brasil</x:t>
        </x:is>
      </x:c>
      <x:c t="inlineStr" r="AB85"/>
      <x:c t="inlineStr" r="AC85"/>
      <x:c t="inlineStr" r="AD85"/>
      <x:c t="inlineStr" r="AE85"/>
      <x:c t="n" r="AF85">
        <x:v>0</x:v>
      </x:c>
      <x:c t="inlineStr" r="AG85"/>
      <x:c t="inlineStr" r="AH85"/>
      <x:c t="inlineStr" r="AI85"/>
      <x:c t="inlineStr" r="AJ85"/>
      <x:c t="inlineStr" r="AK85"/>
      <x:c t="inlineStr" r="AL85"/>
      <x:c t="inlineStr" r="AM85"/>
      <x:c t="inlineStr" r="AN85"/>
      <x:c t="inlineStr" r="AO85"/>
      <x:c t="inlineStr" r="AP85"/>
      <x:c t="inlineStr" r="AQ85"/>
      <x:c t="inlineStr" r="AR85"/>
      <x:c t="inlineStr" r="AS85"/>
      <x:c t="inlineStr" r="AT85"/>
      <x:c t="n" r="AU85">
        <x:v>791</x:v>
      </x:c>
      <x:c t="inlineStr" r="AV85"/>
      <x:c t="inlineStr" r="AW85">
        <x:is>
          <x:t/>
        </x:is>
      </x:c>
      <x:c t="inlineStr" r="AX85">
        <x:is>
          <x:t>text</x:t>
        </x:is>
      </x:c>
      <x:c t="inlineStr" r="AY85">
        <x:is>
          <x:t/>
        </x:is>
      </x:c>
      <x:c t="inlineStr" r="AZ85">
        <x:is>
          <x:t/>
        </x:is>
      </x:c>
      <x:c t="inlineStr" r="BA85">
        <x:is>
          <x:t/>
        </x:is>
      </x:c>
      <x:c t="inlineStr" r="BB85">
        <x:is>
          <x:t>ILLUSTRATION</x:t>
        </x:is>
      </x:c>
      <x:c t="inlineStr" r="BC85">
        <x:is>
          <x:t>advertising</x:t>
        </x:is>
      </x:c>
      <x:c r="BD85">
        <x:f>HYPERLINK("https://pbs.twimg.com/media/HQCMNDrWMAAskRN.jpg")</x:f>
      </x:c>
      <x:c t="inlineStr" r="BE85">
        <x:is>
          <x:t/>
        </x:is>
      </x:c>
      <x:c t="inlineStr" r="BF85">
        <x:is>
          <x:t>Não</x:t>
        </x:is>
      </x:c>
      <x:c t="inlineStr" r="BG85"/>
      <x:c t="inlineStr" r="BH85">
        <x:is>
          <x:t/>
        </x:is>
      </x:c>
      <x:c t="inlineStr" r="BI85">
        <x:is>
          <x:t>Giveaway</x:t>
        </x:is>
      </x:c>
      <x:c t="inlineStr" r="BJ85"/>
      <x:c t="inlineStr" r="BK85">
        <x:is>
          <x:t>Franquia - Jet Oil,Franquia - AmPm,Ipimax,Campanha: Parada Completa,Ipiranga,App KMV,Rock In Rio</x:t>
        </x:is>
      </x:c>
      <x:c t="inlineStr" r="BL85"/>
      <x:c t="inlineStr" r="BM85"/>
      <x:c t="inlineStr" r="BN85"/>
      <x:c t="inlineStr" r="BO85"/>
      <x:c t="inlineStr" r="BP85"/>
      <x:c t="inlineStr" r="BQ85"/>
      <x:c t="inlineStr" r="BR85"/>
      <x:c t="inlineStr" r="BS85"/>
      <x:c t="inlineStr" r="BT85"/>
      <x:c t="inlineStr" r="BU85"/>
      <x:c t="inlineStr" r="BV85">
        <x:is>
          <x:t>Franquia - AmPm</x:t>
        </x:is>
      </x:c>
      <x:c t="inlineStr" r="BW85">
        <x:is>
          <x:t>Ipimax</x:t>
        </x:is>
      </x:c>
      <x:c t="inlineStr" r="BX85">
        <x:is>
          <x:t>Franquia - Jet Oil</x:t>
        </x:is>
      </x:c>
      <x:c t="inlineStr" r="BY85">
        <x:is>
          <x:t>Campanha: Parada Completa</x:t>
        </x:is>
      </x:c>
      <x:c t="inlineStr" r="BZ85">
        <x:is>
          <x:t>Ipiranga</x:t>
        </x:is>
      </x:c>
      <x:c t="inlineStr" r="CA85"/>
      <x:c t="inlineStr" r="CB85"/>
      <x:c t="inlineStr" r="CC85"/>
      <x:c t="inlineStr" r="CD85">
        <x:is>
          <x:t>App KMV</x:t>
        </x:is>
      </x:c>
      <x:c t="inlineStr" r="CE85">
        <x:is>
          <x:t>Rock In Rio</x:t>
        </x:is>
      </x:c>
      <x:c t="inlineStr" r="CF85"/>
    </x:row>
    <x:row r="86">
      <x:c t="n" r="A86">
        <x:v>3682221679</x:v>
      </x:c>
      <x:c t="inlineStr" r="B86">
        <x:is>
          <x:t>27.08.2026</x:t>
        </x:is>
      </x:c>
      <x:c t="inlineStr" r="C86">
        <x:is>
          <x:t>17:10</x:t>
        </x:is>
      </x:c>
      <x:c t="inlineStr" r="D86">
        <x:is>
          <x:t>28.08.2026 13:39</x:t>
        </x:is>
      </x:c>
      <x:c t="inlineStr" r="E86">
        <x:is>
          <x:t/>
        </x:is>
      </x:c>
      <x:c t="str" r="F86">
        <x:v>🔥 Quem estava contando os dias já pode comemorar: os ingressos de gramado estão disponíveis no app KMV.
🎟️ Resgate seu ingresso de gramado para o Rock In Rio Brasil 2026 usando seus pontos + dinheiro e ganhe R$ 100 em vale-combustível.
🚗 Passe no Posto Ipiranga para uma Parada Completa: abasteça com Ipimax, aproveite a AmPm ou dê aquele cuidado no carro no Jet Oil e fique preparado para curtir o melhor do festival.
#Ipiranga #KMV #RockinRio2026</x:v>
      </x:c>
      <x:c t="inlineStr" r="G86">
        <x:is>
          <x:t/>
        </x:is>
      </x:c>
      <x:c t="inlineStr" r="H86"/>
      <x:c t="inlineStr" r="I86">
        <x:is>
          <x:t>Repost</x:t>
        </x:is>
      </x:c>
      <x:c t="inlineStr" r="J86">
        <x:is>
          <x:t>Imagem,Álbum,Texto</x:t>
        </x:is>
      </x:c>
      <x:c t="inlineStr" r="K86"/>
      <x:c r="L86">
        <x:f>HYPERLINK("https://x.com/phoenliix/status/2093068622575161772")</x:f>
      </x:c>
      <x:c t="inlineStr" r="M86">
        <x:is>
          <x:t>Negativo</x:t>
        </x:is>
      </x:c>
      <x:c t="inlineStr" r="N86">
        <x:is>
          <x:t>Afrodite 🦊🐥 🐺 || La Dolce Vita Tour🇪🇸{-13}</x:t>
        </x:is>
      </x:c>
      <x:c t="inlineStr" r="O86">
        <x:is>
          <x:t>phoenliix</x:t>
        </x:is>
      </x:c>
      <x:c r="P86">
        <x:f>HYPERLINK("http://x.com/phoenliix")</x:f>
      </x:c>
      <x:c t="n" r="Q86">
        <x:v>1769</x:v>
      </x:c>
      <x:c t="inlineStr" r="R86">
        <x:is>
          <x:t>Mulher</x:t>
        </x:is>
      </x:c>
      <x:c t="inlineStr" r="S86"/>
      <x:c t="inlineStr" r="T86">
        <x:is>
          <x:t>x.com</x:t>
        </x:is>
      </x:c>
      <x:c t="inlineStr" r="U86"/>
      <x:c t="inlineStr" r="V86"/>
      <x:c t="inlineStr" r="W86"/>
      <x:c t="inlineStr" r="X86"/>
      <x:c t="inlineStr" r="Y86">
        <x:is>
          <x:t>Rede social</x:t>
        </x:is>
      </x:c>
      <x:c t="inlineStr" r="Z86">
        <x:is>
          <x:t>Português</x:t>
        </x:is>
      </x:c>
      <x:c t="inlineStr" r="AA86">
        <x:is>
          <x:t>Grécia</x:t>
        </x:is>
      </x:c>
      <x:c t="inlineStr" r="AB86">
        <x:is>
          <x:t>Macedonia and Thrace</x:t>
        </x:is>
      </x:c>
      <x:c t="inlineStr" r="AC86">
        <x:is>
          <x:t>Thessaloniki</x:t>
        </x:is>
      </x:c>
      <x:c t="inlineStr" r="AD86"/>
      <x:c t="inlineStr" r="AE86"/>
      <x:c t="n" r="AF86">
        <x:v>0</x:v>
      </x:c>
      <x:c t="inlineStr" r="AG86"/>
      <x:c t="inlineStr" r="AH86"/>
      <x:c t="inlineStr" r="AI86"/>
      <x:c t="inlineStr" r="AJ86"/>
      <x:c t="inlineStr" r="AK86"/>
      <x:c t="inlineStr" r="AL86"/>
      <x:c t="inlineStr" r="AM86"/>
      <x:c t="inlineStr" r="AN86"/>
      <x:c t="inlineStr" r="AO86"/>
      <x:c t="inlineStr" r="AP86"/>
      <x:c t="inlineStr" r="AQ86"/>
      <x:c t="inlineStr" r="AR86"/>
      <x:c t="inlineStr" r="AS86"/>
      <x:c t="inlineStr" r="AT86"/>
      <x:c t="n" r="AU86">
        <x:v>1769</x:v>
      </x:c>
      <x:c t="inlineStr" r="AV86"/>
      <x:c t="inlineStr" r="AW86">
        <x:is>
          <x:t/>
        </x:is>
      </x:c>
      <x:c t="inlineStr" r="AX86">
        <x:is>
          <x:t>text</x:t>
        </x:is>
      </x:c>
      <x:c t="inlineStr" r="AY86">
        <x:is>
          <x:t/>
        </x:is>
      </x:c>
      <x:c t="inlineStr" r="AZ86">
        <x:is>
          <x:t/>
        </x:is>
      </x:c>
      <x:c t="inlineStr" r="BA86">
        <x:is>
          <x:t/>
        </x:is>
      </x:c>
      <x:c t="inlineStr" r="BB86">
        <x:is>
          <x:t>ILLUSTRATION</x:t>
        </x:is>
      </x:c>
      <x:c t="inlineStr" r="BC86">
        <x:is>
          <x:t>advertising</x:t>
        </x:is>
      </x:c>
      <x:c r="BD86">
        <x:f>HYPERLINK("https://pbs.twimg.com/media/HQCMNDrWMAAskRN.jpg")</x:f>
      </x:c>
      <x:c t="inlineStr" r="BE86">
        <x:is>
          <x:t/>
        </x:is>
      </x:c>
      <x:c t="inlineStr" r="BF86">
        <x:is>
          <x:t>Não</x:t>
        </x:is>
      </x:c>
      <x:c t="inlineStr" r="BG86"/>
      <x:c t="inlineStr" r="BH86">
        <x:is>
          <x:t/>
        </x:is>
      </x:c>
      <x:c t="inlineStr" r="BI86">
        <x:is>
          <x:t>Giveaway</x:t>
        </x:is>
      </x:c>
      <x:c t="inlineStr" r="BJ86"/>
      <x:c t="inlineStr" r="BK86">
        <x:is>
          <x:t>Franquia - Jet Oil,Franquia - AmPm,Ipimax,Campanha: Parada Completa,Ipiranga,App KMV,Rock In Rio</x:t>
        </x:is>
      </x:c>
      <x:c t="inlineStr" r="BL86"/>
      <x:c t="inlineStr" r="BM86"/>
      <x:c t="inlineStr" r="BN86"/>
      <x:c t="inlineStr" r="BO86"/>
      <x:c t="inlineStr" r="BP86"/>
      <x:c t="inlineStr" r="BQ86"/>
      <x:c t="inlineStr" r="BR86"/>
      <x:c t="inlineStr" r="BS86"/>
      <x:c t="inlineStr" r="BT86"/>
      <x:c t="inlineStr" r="BU86"/>
      <x:c t="inlineStr" r="BV86">
        <x:is>
          <x:t>Franquia - AmPm</x:t>
        </x:is>
      </x:c>
      <x:c t="inlineStr" r="BW86">
        <x:is>
          <x:t>Ipimax</x:t>
        </x:is>
      </x:c>
      <x:c t="inlineStr" r="BX86">
        <x:is>
          <x:t>Franquia - Jet Oil</x:t>
        </x:is>
      </x:c>
      <x:c t="inlineStr" r="BY86">
        <x:is>
          <x:t>Campanha: Parada Completa</x:t>
        </x:is>
      </x:c>
      <x:c t="inlineStr" r="BZ86">
        <x:is>
          <x:t>Ipiranga</x:t>
        </x:is>
      </x:c>
      <x:c t="inlineStr" r="CA86"/>
      <x:c t="inlineStr" r="CB86"/>
      <x:c t="inlineStr" r="CC86"/>
      <x:c t="inlineStr" r="CD86">
        <x:is>
          <x:t>App KMV</x:t>
        </x:is>
      </x:c>
      <x:c t="inlineStr" r="CE86">
        <x:is>
          <x:t>Rock In Rio</x:t>
        </x:is>
      </x:c>
      <x:c t="inlineStr" r="CF86"/>
    </x:row>
    <x:row r="87">
      <x:c t="n" r="A87">
        <x:v>1269878045</x:v>
      </x:c>
      <x:c t="inlineStr" r="B87">
        <x:is>
          <x:t>27.08.2026</x:t>
        </x:is>
      </x:c>
      <x:c t="inlineStr" r="C87">
        <x:is>
          <x:t>17:04</x:t>
        </x:is>
      </x:c>
      <x:c t="inlineStr" r="D87">
        <x:is>
          <x:t>27.08.2026 17:12</x:t>
        </x:is>
      </x:c>
      <x:c t="inlineStr" r="E87">
        <x:is>
          <x:t/>
        </x:is>
      </x:c>
      <x:c t="str" r="F87">
        <x:v>🔥 Quem estava contando os dias já pode comemorar: os ingressos de gramado estão disponíveis no app KMV.
🎟️ Resgate seu ingresso de gramado para o Rock In Rio Brasil 2026 usando seus pontos + dinheiro e ganhe R$ 100 em vale-combustível.
🚗 Passe no Posto Ipiranga para uma Parada Completa: abasteça com Ipimax, aproveite a AmPm ou dê aquele cuidado no carro no Jet Oil e fique preparado para curtir o melhor do festival. 
#Ipiranga #KMV #RockinRio2026</x:v>
      </x:c>
      <x:c t="inlineStr" r="G87">
        <x:is>
          <x:t/>
        </x:is>
      </x:c>
      <x:c t="inlineStr" r="H87"/>
      <x:c t="inlineStr" r="I87">
        <x:is>
          <x:t>Postar</x:t>
        </x:is>
      </x:c>
      <x:c t="inlineStr" r="J87">
        <x:is>
          <x:t>Texto,Álbum,Imagem</x:t>
        </x:is>
      </x:c>
      <x:c t="inlineStr" r="K87"/>
      <x:c r="L87">
        <x:f>HYPERLINK("https://www.instagram.com/p/Dcjmk8llMgE/")</x:f>
      </x:c>
      <x:c t="inlineStr" r="M87">
        <x:is>
          <x:t>Negativo</x:t>
        </x:is>
      </x:c>
      <x:c t="inlineStr" r="N87">
        <x:is>
          <x:t>STRAY KIDS BRASIL | SKZBR</x:t>
        </x:is>
      </x:c>
      <x:c t="inlineStr" r="O87">
        <x:is>
          <x:t>realskzbrasil</x:t>
        </x:is>
      </x:c>
      <x:c r="P87">
        <x:f>HYPERLINK("http://instagram.com/realskzbrasil")</x:f>
      </x:c>
      <x:c t="n" r="Q87">
        <x:v>45029</x:v>
      </x:c>
      <x:c t="inlineStr" r="R87"/>
      <x:c t="inlineStr" r="S87"/>
      <x:c t="inlineStr" r="T87">
        <x:is>
          <x:t>instagram.com</x:t>
        </x:is>
      </x:c>
      <x:c t="inlineStr" r="U87">
        <x:is>
          <x:t>STRAY KIDS BRASIL | SKZBR</x:t>
        </x:is>
      </x:c>
      <x:c r="V87">
        <x:f>HYPERLINK("http://instagram.com/realskzbrasil")</x:f>
      </x:c>
      <x:c t="n" r="W87">
        <x:v>45029</x:v>
      </x:c>
      <x:c t="inlineStr" r="X87"/>
      <x:c t="inlineStr" r="Y87">
        <x:is>
          <x:t>Rede social</x:t>
        </x:is>
      </x:c>
      <x:c t="inlineStr" r="Z87">
        <x:is>
          <x:t>Português</x:t>
        </x:is>
      </x:c>
      <x:c t="inlineStr" r="AA87"/>
      <x:c t="inlineStr" r="AB87"/>
      <x:c t="inlineStr" r="AC87"/>
      <x:c t="inlineStr" r="AD87"/>
      <x:c t="n" r="AE87">
        <x:v>268</x:v>
      </x:c>
      <x:c t="n" r="AF87">
        <x:v>269</x:v>
      </x:c>
      <x:c t="n" r="AG87">
        <x:v>268</x:v>
      </x:c>
      <x:c t="inlineStr" r="AH87"/>
      <x:c t="inlineStr" r="AI87"/>
      <x:c t="inlineStr" r="AJ87"/>
      <x:c t="inlineStr" r="AK87"/>
      <x:c t="inlineStr" r="AL87"/>
      <x:c t="inlineStr" r="AM87"/>
      <x:c t="inlineStr" r="AN87"/>
      <x:c t="n" r="AO87">
        <x:v>1</x:v>
      </x:c>
      <x:c t="inlineStr" r="AP87"/>
      <x:c t="inlineStr" r="AQ87"/>
      <x:c t="inlineStr" r="AR87"/>
      <x:c t="inlineStr" r="AS87"/>
      <x:c t="inlineStr" r="AT87"/>
      <x:c t="n" r="AU87">
        <x:v>45029</x:v>
      </x:c>
      <x:c t="inlineStr" r="AV87"/>
      <x:c t="inlineStr" r="AW87">
        <x:is>
          <x:t/>
        </x:is>
      </x:c>
      <x:c t="inlineStr" r="AX87">
        <x:is>
          <x:t>text</x:t>
        </x:is>
      </x:c>
      <x:c t="inlineStr" r="AY87">
        <x:is>
          <x:t/>
        </x:is>
      </x:c>
      <x:c t="inlineStr" r="AZ87">
        <x:is>
          <x:t/>
        </x:is>
      </x:c>
      <x:c t="inlineStr" r="BA87">
        <x:is>
          <x:t/>
        </x:is>
      </x:c>
      <x:c t="inlineStr" r="BB87">
        <x:is>
          <x:t>ILLUSTRATION</x:t>
        </x:is>
      </x:c>
      <x:c t="inlineStr" r="BC87">
        <x:is>
          <x:t>advertising</x:t>
        </x:is>
      </x:c>
      <x:c t="inlineStr" r="BD87">
        <x:is>
          <x:t>https://scontent-sin6-3.cdninstagram.com/v/t51.82787-15/786433739_18367822108211564_888455047240076985_n.jpg?stp=dst-jpg_e35_tt6&amp;_nc_cat=110&amp;ig_cache_key=Mzk3MzE4ODkwNDQ3MzkxODQ4MA%3D%3D.3-ccb7-5&amp;ccb=7-5&amp;_nc_sid=58cdad&amp;efg=eyJ2ZW5jb2RlX3RhZyI6IkNBUk9VU0VMX0lURU0ueHBpZHMuMTA4MC5zZHIucmVndWxhcl9waG90by5DMyJ9&amp;_nc_ohc=bPzIKiSsjEcQ7kNvwFu4G6w&amp;_nc_oc=AdqtUgW9SFbleHYvXcZx_kjjg2AN3iLup5mnfbo2-67h9Bdn9wintOGMr0d5TKiiJa4&amp;_nc_zt=23&amp;_nc_ht=scontent-sin6-3.cdninstagram.com&amp;_nc_gid=zE_EYHzqEOBG7zdNbwB3Dw&amp;_nc_ss=70a8c&amp;oh=00_AQFEcPRKA1GKlRdYK9XcvO_2C1gnjYOTKZuaLKCDWHzxSA&amp;oe=6A968229</x:t>
        </x:is>
      </x:c>
      <x:c t="inlineStr" r="BE87">
        <x:is>
          <x:t/>
        </x:is>
      </x:c>
      <x:c t="inlineStr" r="BF87">
        <x:is>
          <x:t>Não</x:t>
        </x:is>
      </x:c>
      <x:c t="inlineStr" r="BG87"/>
      <x:c t="inlineStr" r="BH87">
        <x:is>
          <x:t/>
        </x:is>
      </x:c>
      <x:c t="inlineStr" r="BI87">
        <x:is>
          <x:t>Giveaway</x:t>
        </x:is>
      </x:c>
      <x:c t="inlineStr" r="BJ87"/>
      <x:c t="inlineStr" r="BK87">
        <x:is>
          <x:t>Franquia - Jet Oil,Franquia - AmPm,Ipimax,Campanha: Parada Completa,Ipiranga,App KMV,Rock In Rio</x:t>
        </x:is>
      </x:c>
      <x:c t="inlineStr" r="BL87"/>
      <x:c t="inlineStr" r="BM87"/>
      <x:c t="inlineStr" r="BN87"/>
      <x:c t="inlineStr" r="BO87"/>
      <x:c t="inlineStr" r="BP87"/>
      <x:c t="inlineStr" r="BQ87"/>
      <x:c t="inlineStr" r="BR87"/>
      <x:c t="inlineStr" r="BS87"/>
      <x:c t="inlineStr" r="BT87"/>
      <x:c t="inlineStr" r="BU87"/>
      <x:c t="inlineStr" r="BV87">
        <x:is>
          <x:t>Franquia - AmPm</x:t>
        </x:is>
      </x:c>
      <x:c t="inlineStr" r="BW87">
        <x:is>
          <x:t>Ipimax</x:t>
        </x:is>
      </x:c>
      <x:c t="inlineStr" r="BX87">
        <x:is>
          <x:t>Franquia - Jet Oil</x:t>
        </x:is>
      </x:c>
      <x:c t="inlineStr" r="BY87">
        <x:is>
          <x:t>Campanha: Parada Completa</x:t>
        </x:is>
      </x:c>
      <x:c t="inlineStr" r="BZ87">
        <x:is>
          <x:t>Ipiranga</x:t>
        </x:is>
      </x:c>
      <x:c t="inlineStr" r="CA87"/>
      <x:c t="inlineStr" r="CB87"/>
      <x:c t="inlineStr" r="CC87"/>
      <x:c t="inlineStr" r="CD87">
        <x:is>
          <x:t>App KMV</x:t>
        </x:is>
      </x:c>
      <x:c t="inlineStr" r="CE87">
        <x:is>
          <x:t>Rock In Rio</x:t>
        </x:is>
      </x:c>
      <x:c t="inlineStr" r="CF87"/>
    </x:row>
    <x:row r="88">
      <x:c t="n" r="A88">
        <x:v>2563084067</x:v>
      </x:c>
      <x:c t="inlineStr" r="B88">
        <x:is>
          <x:t>27.08.2026</x:t>
        </x:is>
      </x:c>
      <x:c t="inlineStr" r="C88">
        <x:is>
          <x:t>17:00</x:t>
        </x:is>
      </x:c>
      <x:c t="inlineStr" r="D88">
        <x:is>
          <x:t>27.08.2026 21:11</x:t>
        </x:is>
      </x:c>
      <x:c t="inlineStr" r="E88">
        <x:is>
          <x:t/>
        </x:is>
      </x:c>
      <x:c t="str" r="F88">
        <x:v>🔥 Os grandes momentos começam muito antes do show. Eles começam quando você garante seu ingresso. 
🎟️ Os ingressos para o Rock in Rio Brasil 2026 já estão disponíveis no app KMV.
Resgate usando pontos + dinheiro e ainda ganhe R$ 100 em vale-combustível. 
Depois, é só fazer aquela Parada Completa no Posto Ipiranga e se preparar para curtir o festival. 
#Ipiranga #KMV #RockinRio2026</x:v>
      </x:c>
      <x:c t="inlineStr" r="G88">
        <x:is>
          <x:t/>
        </x:is>
      </x:c>
      <x:c t="inlineStr" r="H88"/>
      <x:c t="inlineStr" r="I88">
        <x:is>
          <x:t>Postar</x:t>
        </x:is>
      </x:c>
      <x:c t="inlineStr" r="J88">
        <x:is>
          <x:t>Texto,Álbum,Imagem</x:t>
        </x:is>
      </x:c>
      <x:c t="inlineStr" r="K88"/>
      <x:c r="L88">
        <x:f>HYPERLINK("https://www.instagram.com/p/DcjmMloCXdJ/")</x:f>
      </x:c>
      <x:c t="inlineStr" r="M88">
        <x:is>
          <x:t>Negativo</x:t>
        </x:is>
      </x:c>
      <x:c t="inlineStr" r="N88">
        <x:is>
          <x:t>Portal Lovato</x:t>
        </x:is>
      </x:c>
      <x:c t="inlineStr" r="O88">
        <x:is>
          <x:t>portallovato</x:t>
        </x:is>
      </x:c>
      <x:c r="P88">
        <x:f>HYPERLINK("http://instagram.com/portallovato")</x:f>
      </x:c>
      <x:c t="n" r="Q88">
        <x:v>21127</x:v>
      </x:c>
      <x:c t="inlineStr" r="R88"/>
      <x:c t="inlineStr" r="S88"/>
      <x:c t="inlineStr" r="T88">
        <x:is>
          <x:t>instagram.com</x:t>
        </x:is>
      </x:c>
      <x:c t="inlineStr" r="U88">
        <x:is>
          <x:t>Portal Lovato</x:t>
        </x:is>
      </x:c>
      <x:c r="V88">
        <x:f>HYPERLINK("http://instagram.com/portallovato")</x:f>
      </x:c>
      <x:c t="n" r="W88">
        <x:v>21127</x:v>
      </x:c>
      <x:c t="inlineStr" r="X88"/>
      <x:c t="inlineStr" r="Y88">
        <x:is>
          <x:t>Rede social</x:t>
        </x:is>
      </x:c>
      <x:c t="inlineStr" r="Z88">
        <x:is>
          <x:t>Português</x:t>
        </x:is>
      </x:c>
      <x:c t="inlineStr" r="AA88"/>
      <x:c t="inlineStr" r="AB88"/>
      <x:c t="inlineStr" r="AC88"/>
      <x:c t="inlineStr" r="AD88"/>
      <x:c t="n" r="AE88">
        <x:v>70</x:v>
      </x:c>
      <x:c t="n" r="AF88">
        <x:v>73</x:v>
      </x:c>
      <x:c t="n" r="AG88">
        <x:v>70</x:v>
      </x:c>
      <x:c t="inlineStr" r="AH88"/>
      <x:c t="inlineStr" r="AI88"/>
      <x:c t="inlineStr" r="AJ88"/>
      <x:c t="inlineStr" r="AK88"/>
      <x:c t="inlineStr" r="AL88"/>
      <x:c t="inlineStr" r="AM88"/>
      <x:c t="inlineStr" r="AN88"/>
      <x:c t="n" r="AO88">
        <x:v>3</x:v>
      </x:c>
      <x:c t="inlineStr" r="AP88"/>
      <x:c t="inlineStr" r="AQ88"/>
      <x:c t="inlineStr" r="AR88"/>
      <x:c t="inlineStr" r="AS88"/>
      <x:c t="inlineStr" r="AT88"/>
      <x:c t="n" r="AU88">
        <x:v>21127</x:v>
      </x:c>
      <x:c t="inlineStr" r="AV88"/>
      <x:c t="inlineStr" r="AW88">
        <x:is>
          <x:t/>
        </x:is>
      </x:c>
      <x:c t="inlineStr" r="AX88">
        <x:is>
          <x:t>text,poster</x:t>
        </x:is>
      </x:c>
      <x:c t="inlineStr" r="AY88">
        <x:is>
          <x:t/>
        </x:is>
      </x:c>
      <x:c t="inlineStr" r="AZ88">
        <x:is>
          <x:t/>
        </x:is>
      </x:c>
      <x:c t="inlineStr" r="BA88">
        <x:is>
          <x:t/>
        </x:is>
      </x:c>
      <x:c t="inlineStr" r="BB88">
        <x:is>
          <x:t>ILLUSTRATION</x:t>
        </x:is>
      </x:c>
      <x:c t="inlineStr" r="BC88">
        <x:is>
          <x:t>graphics</x:t>
        </x:is>
      </x:c>
      <x:c t="inlineStr" r="BD88">
        <x:is>
          <x:t>https://scontent-iad6-1.cdninstagram.com/v/t51.82787-15/786562617_18621579220048852_2926735499380051316_n.webp?stp=dst-webp_p1080x1080&amp;_nc_cat=109&amp;ig_cache_key=Mzk3MjQ0MzgzMTIxOTY0NDQ3OA%3D%3D.3-ccb7-5&amp;ccb=7-5&amp;_nc_sid=58cdad&amp;efg=eyJ2ZW5jb2RlX3RhZyI6IkNBUk9VU0VMX0lURU0ueHBpZHMuMTQ0MC5zZHIucmVndWxhcl9waG90by5DMyJ9&amp;_nc_ohc=LdlATEVICscQ7kNvwFslb_m&amp;_nc_oc=Ado0QHFyzLGGtKupsIV-PgrzyA2ej6wc8PZ8qwX0gdcECqfORjB1ZQzJxEbEDGxl7QsbX7RqnRD6uJFrymd273Xn&amp;_nc_zt=23&amp;_nc_ht=scontent-iad6-1.cdninstagram.com&amp;_nc_gid=0uwcRkUaI-C5Wu65GzBpfA&amp;_nc_ss=70689&amp;oh=00_AQGL9tK91XeDnCt-H5dzKyzc6tT6Si3NwS1unPK7YBw9EA&amp;oe=6A96ACEF</x:t>
        </x:is>
      </x:c>
      <x:c t="inlineStr" r="BE88">
        <x:is>
          <x:t/>
        </x:is>
      </x:c>
      <x:c t="inlineStr" r="BF88">
        <x:is>
          <x:t>Não</x:t>
        </x:is>
      </x:c>
      <x:c t="inlineStr" r="BG88"/>
      <x:c t="inlineStr" r="BH88">
        <x:is>
          <x:t/>
        </x:is>
      </x:c>
      <x:c t="inlineStr" r="BI88">
        <x:is>
          <x:t>Promoção</x:t>
        </x:is>
      </x:c>
      <x:c t="inlineStr" r="BJ88">
        <x:is>
          <x:t>O Rock in Rio começa semana que vem e por aqui a ansiedade já está ON!</x:t>
        </x:is>
      </x:c>
      <x:c t="inlineStr" r="BK88">
        <x:is>
          <x:t>Campanha: Parada Completa,Ipiranga,App KMV,Rock In Rio</x:t>
        </x:is>
      </x:c>
      <x:c t="inlineStr" r="BL88"/>
      <x:c t="inlineStr" r="BM88"/>
      <x:c t="inlineStr" r="BN88"/>
      <x:c t="inlineStr" r="BO88"/>
      <x:c t="inlineStr" r="BP88"/>
      <x:c t="inlineStr" r="BQ88"/>
      <x:c t="inlineStr" r="BR88"/>
      <x:c t="inlineStr" r="BS88"/>
      <x:c t="inlineStr" r="BT88"/>
      <x:c t="inlineStr" r="BU88"/>
      <x:c t="inlineStr" r="BV88"/>
      <x:c t="inlineStr" r="BW88"/>
      <x:c t="inlineStr" r="BX88"/>
      <x:c t="inlineStr" r="BY88">
        <x:is>
          <x:t>Campanha: Parada Completa</x:t>
        </x:is>
      </x:c>
      <x:c t="inlineStr" r="BZ88">
        <x:is>
          <x:t>Ipiranga</x:t>
        </x:is>
      </x:c>
      <x:c t="inlineStr" r="CA88"/>
      <x:c t="inlineStr" r="CB88"/>
      <x:c t="inlineStr" r="CC88"/>
      <x:c t="inlineStr" r="CD88">
        <x:is>
          <x:t>App KMV</x:t>
        </x:is>
      </x:c>
      <x:c t="inlineStr" r="CE88">
        <x:is>
          <x:t>Rock In Rio</x:t>
        </x:is>
      </x:c>
      <x:c t="inlineStr" r="CF88"/>
    </x:row>
    <x:row r="89">
      <x:c t="n" r="A89">
        <x:v>1949282746</x:v>
      </x:c>
      <x:c t="inlineStr" r="B89">
        <x:is>
          <x:t>27.08.2026</x:t>
        </x:is>
      </x:c>
      <x:c t="inlineStr" r="C89">
        <x:is>
          <x:t>17:00</x:t>
        </x:is>
      </x:c>
      <x:c t="inlineStr" r="D89">
        <x:is>
          <x:t>27.08.2026 17:03</x:t>
        </x:is>
      </x:c>
      <x:c t="inlineStr" r="E89">
        <x:is>
          <x:t/>
        </x:is>
      </x:c>
      <x:c t="str" r="F89">
        <x:v>🔥 Quem estava contando os dias já pode comemorar: os ingressos de gramado estão disponíveis no app KMV.
🎟️ Resgate seu ingresso de gramado para o Rock In Rio Brasil 2026 usando seus pontos + dinheiro e ganhe R$ 100 em vale-combustível.
🚗 Passe no Posto Ipiranga para uma Parada Completa: abasteça com Ipimax, aproveite a AmPm ou dê aquele cuidado no carro no Jet Oil e fique preparado para curtir o melhor do festival.
#Ipiranga #KMV #RockinRio2026</x:v>
      </x:c>
      <x:c t="inlineStr" r="G89">
        <x:is>
          <x:t/>
        </x:is>
      </x:c>
      <x:c t="inlineStr" r="H89"/>
      <x:c t="inlineStr" r="I89">
        <x:is>
          <x:t>Postar</x:t>
        </x:is>
      </x:c>
      <x:c t="inlineStr" r="J89">
        <x:is>
          <x:t>Imagem,Álbum,Texto</x:t>
        </x:is>
      </x:c>
      <x:c t="inlineStr" r="K89"/>
      <x:c r="L89">
        <x:f>HYPERLINK("https://x.com/StrayKidsBrasil/status/2093066021288767719")</x:f>
      </x:c>
      <x:c t="inlineStr" r="M89">
        <x:is>
          <x:t>Negativo</x:t>
        </x:is>
      </x:c>
      <x:c t="inlineStr" r="N89">
        <x:is>
          <x:t>Stray Kids Brasil</x:t>
        </x:is>
      </x:c>
      <x:c t="inlineStr" r="O89">
        <x:is>
          <x:t>StrayKidsBrasil</x:t>
        </x:is>
      </x:c>
      <x:c r="P89">
        <x:f>HYPERLINK("http://x.com/StrayKidsBrasil")</x:f>
      </x:c>
      <x:c t="n" r="Q89">
        <x:v>197049</x:v>
      </x:c>
      <x:c t="inlineStr" r="R89"/>
      <x:c t="inlineStr" r="S89"/>
      <x:c t="inlineStr" r="T89">
        <x:is>
          <x:t>x.com</x:t>
        </x:is>
      </x:c>
      <x:c t="inlineStr" r="U89"/>
      <x:c t="inlineStr" r="V89"/>
      <x:c t="inlineStr" r="W89"/>
      <x:c t="inlineStr" r="X89"/>
      <x:c t="inlineStr" r="Y89">
        <x:is>
          <x:t>Rede social</x:t>
        </x:is>
      </x:c>
      <x:c t="inlineStr" r="Z89">
        <x:is>
          <x:t>Português</x:t>
        </x:is>
      </x:c>
      <x:c t="inlineStr" r="AA89"/>
      <x:c t="inlineStr" r="AB89"/>
      <x:c t="inlineStr" r="AC89"/>
      <x:c t="inlineStr" r="AD89"/>
      <x:c t="n" r="AE89">
        <x:v>76</x:v>
      </x:c>
      <x:c t="n" r="AF89">
        <x:v>94</x:v>
      </x:c>
      <x:c t="n" r="AG89">
        <x:v>76</x:v>
      </x:c>
      <x:c t="inlineStr" r="AH89"/>
      <x:c t="inlineStr" r="AI89"/>
      <x:c t="inlineStr" r="AJ89"/>
      <x:c t="inlineStr" r="AK89"/>
      <x:c t="inlineStr" r="AL89"/>
      <x:c t="inlineStr" r="AM89"/>
      <x:c t="inlineStr" r="AN89"/>
      <x:c t="n" r="AO89">
        <x:v>2</x:v>
      </x:c>
      <x:c t="n" r="AP89">
        <x:v>16</x:v>
      </x:c>
      <x:c t="n" r="AQ89">
        <x:v>5696</x:v>
      </x:c>
      <x:c t="inlineStr" r="AR89"/>
      <x:c t="inlineStr" r="AS89"/>
      <x:c t="n" r="AT89">
        <x:v>7</x:v>
      </x:c>
      <x:c t="n" r="AU89">
        <x:v>197049</x:v>
      </x:c>
      <x:c t="inlineStr" r="AV89"/>
      <x:c t="inlineStr" r="AW89">
        <x:is>
          <x:t/>
        </x:is>
      </x:c>
      <x:c t="inlineStr" r="AX89">
        <x:is>
          <x:t>text</x:t>
        </x:is>
      </x:c>
      <x:c t="inlineStr" r="AY89">
        <x:is>
          <x:t/>
        </x:is>
      </x:c>
      <x:c t="inlineStr" r="AZ89">
        <x:is>
          <x:t/>
        </x:is>
      </x:c>
      <x:c t="inlineStr" r="BA89">
        <x:is>
          <x:t/>
        </x:is>
      </x:c>
      <x:c t="inlineStr" r="BB89">
        <x:is>
          <x:t>ILLUSTRATION</x:t>
        </x:is>
      </x:c>
      <x:c t="inlineStr" r="BC89">
        <x:is>
          <x:t>advertising</x:t>
        </x:is>
      </x:c>
      <x:c r="BD89">
        <x:f>HYPERLINK("https://pbs.twimg.com/media/HQCMNDrWMAAskRN.jpg")</x:f>
      </x:c>
      <x:c t="inlineStr" r="BE89">
        <x:is>
          <x:t/>
        </x:is>
      </x:c>
      <x:c t="inlineStr" r="BF89">
        <x:is>
          <x:t>Não</x:t>
        </x:is>
      </x:c>
      <x:c t="inlineStr" r="BG89"/>
      <x:c t="inlineStr" r="BH89">
        <x:is>
          <x:t/>
        </x:is>
      </x:c>
      <x:c t="inlineStr" r="BI89">
        <x:is>
          <x:t>Giveaway</x:t>
        </x:is>
      </x:c>
      <x:c t="inlineStr" r="BJ89"/>
      <x:c t="inlineStr" r="BK89">
        <x:is>
          <x:t>Franquia - Jet Oil,Franquia - AmPm,Ipimax,Campanha: Parada Completa,Ipiranga,App KMV,Rock In Rio</x:t>
        </x:is>
      </x:c>
      <x:c t="inlineStr" r="BL89"/>
      <x:c t="inlineStr" r="BM89"/>
      <x:c t="inlineStr" r="BN89"/>
      <x:c t="inlineStr" r="BO89"/>
      <x:c t="inlineStr" r="BP89"/>
      <x:c t="inlineStr" r="BQ89"/>
      <x:c t="inlineStr" r="BR89"/>
      <x:c t="inlineStr" r="BS89"/>
      <x:c t="inlineStr" r="BT89"/>
      <x:c t="inlineStr" r="BU89"/>
      <x:c t="inlineStr" r="BV89">
        <x:is>
          <x:t>Franquia - AmPm</x:t>
        </x:is>
      </x:c>
      <x:c t="inlineStr" r="BW89">
        <x:is>
          <x:t>Ipimax</x:t>
        </x:is>
      </x:c>
      <x:c t="inlineStr" r="BX89">
        <x:is>
          <x:t>Franquia - Jet Oil</x:t>
        </x:is>
      </x:c>
      <x:c t="inlineStr" r="BY89">
        <x:is>
          <x:t>Campanha: Parada Completa</x:t>
        </x:is>
      </x:c>
      <x:c t="inlineStr" r="BZ89">
        <x:is>
          <x:t>Ipiranga</x:t>
        </x:is>
      </x:c>
      <x:c t="inlineStr" r="CA89"/>
      <x:c t="inlineStr" r="CB89"/>
      <x:c t="inlineStr" r="CC89"/>
      <x:c t="inlineStr" r="CD89">
        <x:is>
          <x:t>App KMV</x:t>
        </x:is>
      </x:c>
      <x:c t="inlineStr" r="CE89">
        <x:is>
          <x:t>Rock In Rio</x:t>
        </x:is>
      </x:c>
      <x:c t="inlineStr" r="CF89"/>
    </x:row>
    <x:row r="90">
      <x:c t="n" r="A90">
        <x:v>767760711</x:v>
      </x:c>
      <x:c t="inlineStr" r="B90">
        <x:is>
          <x:t>27.08.2026</x:t>
        </x:is>
      </x:c>
      <x:c t="inlineStr" r="C90">
        <x:is>
          <x:t>17:00</x:t>
        </x:is>
      </x:c>
      <x:c t="inlineStr" r="D90">
        <x:is>
          <x:t>27.08.2026 17:03</x:t>
        </x:is>
      </x:c>
      <x:c t="inlineStr" r="E90">
        <x:is>
          <x:t/>
        </x:is>
      </x:c>
      <x:c t="str" r="F90">
        <x:v>🔥 Os grandes momentos começam muito antes do show. Eles começam quando você garante seu ingresso. 
🎟️ Os ingressos para o Rock in Rio Brasil 2026 já estão disponíveis no app KMV.
Resgate usando pontos + dinheiro e ainda ganhe R$ 100 em vale-combustível. 
Depois, é só fazer aquela Parada Completa no Posto Ipiranga e se preparar para curtir  o festival. 
#Ipiranga #KMV #RockinRio2026</x:v>
      </x:c>
      <x:c t="inlineStr" r="G90">
        <x:is>
          <x:t/>
        </x:is>
      </x:c>
      <x:c t="inlineStr" r="H90"/>
      <x:c t="inlineStr" r="I90">
        <x:is>
          <x:t>Postar</x:t>
        </x:is>
      </x:c>
      <x:c t="inlineStr" r="J90">
        <x:is>
          <x:t>Imagem,Álbum,Texto</x:t>
        </x:is>
      </x:c>
      <x:c t="inlineStr" r="K90"/>
      <x:c r="L90">
        <x:f>HYPERLINK("https://x.com/portallovato/status/2093066019241869539")</x:f>
      </x:c>
      <x:c t="inlineStr" r="M90">
        <x:is>
          <x:t>Negativo</x:t>
        </x:is>
      </x:c>
      <x:c t="inlineStr" r="N90">
        <x:is>
          <x:t>Portal Lovato</x:t>
        </x:is>
      </x:c>
      <x:c t="inlineStr" r="O90">
        <x:is>
          <x:t>portallovato</x:t>
        </x:is>
      </x:c>
      <x:c r="P90">
        <x:f>HYPERLINK("http://x.com/portallovato")</x:f>
      </x:c>
      <x:c t="n" r="Q90">
        <x:v>133591</x:v>
      </x:c>
      <x:c t="inlineStr" r="R90"/>
      <x:c t="inlineStr" r="S90"/>
      <x:c t="inlineStr" r="T90">
        <x:is>
          <x:t>x.com</x:t>
        </x:is>
      </x:c>
      <x:c t="inlineStr" r="U90"/>
      <x:c t="inlineStr" r="V90"/>
      <x:c t="inlineStr" r="W90"/>
      <x:c t="inlineStr" r="X90"/>
      <x:c t="inlineStr" r="Y90">
        <x:is>
          <x:t>Rede social</x:t>
        </x:is>
      </x:c>
      <x:c t="inlineStr" r="Z90">
        <x:is>
          <x:t>Português</x:t>
        </x:is>
      </x:c>
      <x:c t="inlineStr" r="AA90">
        <x:is>
          <x:t>Brasil</x:t>
        </x:is>
      </x:c>
      <x:c t="inlineStr" r="AB90"/>
      <x:c t="inlineStr" r="AC90"/>
      <x:c t="inlineStr" r="AD90"/>
      <x:c t="n" r="AE90">
        <x:v>24</x:v>
      </x:c>
      <x:c t="n" r="AF90">
        <x:v>27</x:v>
      </x:c>
      <x:c t="n" r="AG90">
        <x:v>24</x:v>
      </x:c>
      <x:c t="inlineStr" r="AH90"/>
      <x:c t="inlineStr" r="AI90"/>
      <x:c t="inlineStr" r="AJ90"/>
      <x:c t="inlineStr" r="AK90"/>
      <x:c t="inlineStr" r="AL90"/>
      <x:c t="inlineStr" r="AM90"/>
      <x:c t="inlineStr" r="AN90"/>
      <x:c t="n" r="AO90">
        <x:v>1</x:v>
      </x:c>
      <x:c t="n" r="AP90">
        <x:v>2</x:v>
      </x:c>
      <x:c t="n" r="AQ90">
        <x:v>2984</x:v>
      </x:c>
      <x:c t="inlineStr" r="AR90"/>
      <x:c t="inlineStr" r="AS90"/>
      <x:c t="n" r="AT90">
        <x:v>1</x:v>
      </x:c>
      <x:c t="n" r="AU90">
        <x:v>133591</x:v>
      </x:c>
      <x:c t="inlineStr" r="AV90"/>
      <x:c t="inlineStr" r="AW90">
        <x:is>
          <x:t/>
        </x:is>
      </x:c>
      <x:c t="inlineStr" r="AX90">
        <x:is>
          <x:t>text,poster</x:t>
        </x:is>
      </x:c>
      <x:c t="inlineStr" r="AY90">
        <x:is>
          <x:t/>
        </x:is>
      </x:c>
      <x:c t="inlineStr" r="AZ90">
        <x:is>
          <x:t/>
        </x:is>
      </x:c>
      <x:c t="inlineStr" r="BA90">
        <x:is>
          <x:t/>
        </x:is>
      </x:c>
      <x:c t="inlineStr" r="BB90">
        <x:is>
          <x:t>ILLUSTRATION</x:t>
        </x:is>
      </x:c>
      <x:c t="inlineStr" r="BC90">
        <x:is>
          <x:t>graphics</x:t>
        </x:is>
      </x:c>
      <x:c r="BD90">
        <x:f>HYPERLINK("https://pbs.twimg.com/media/HQq-7UaX0AAcGzD.jpg")</x:f>
      </x:c>
      <x:c t="inlineStr" r="BE90">
        <x:is>
          <x:t/>
        </x:is>
      </x:c>
      <x:c t="inlineStr" r="BF90">
        <x:is>
          <x:t>Não</x:t>
        </x:is>
      </x:c>
      <x:c t="inlineStr" r="BG90"/>
      <x:c t="inlineStr" r="BH90">
        <x:is>
          <x:t/>
        </x:is>
      </x:c>
      <x:c t="inlineStr" r="BI90">
        <x:is>
          <x:t>Promoção</x:t>
        </x:is>
      </x:c>
      <x:c t="inlineStr" r="BJ90">
        <x:is>
          <x:t>O Rock in Rio começa semana que vem e por aqui a ansiedade já está ON!</x:t>
        </x:is>
      </x:c>
      <x:c t="inlineStr" r="BK90">
        <x:is>
          <x:t>Campanha: Parada Completa,Ipiranga,App KMV,Rock In Rio</x:t>
        </x:is>
      </x:c>
      <x:c t="inlineStr" r="BL90"/>
      <x:c t="inlineStr" r="BM90"/>
      <x:c t="inlineStr" r="BN90"/>
      <x:c t="inlineStr" r="BO90"/>
      <x:c t="inlineStr" r="BP90"/>
      <x:c t="inlineStr" r="BQ90"/>
      <x:c t="inlineStr" r="BR90"/>
      <x:c t="inlineStr" r="BS90"/>
      <x:c t="inlineStr" r="BT90"/>
      <x:c t="inlineStr" r="BU90"/>
      <x:c t="inlineStr" r="BV90"/>
      <x:c t="inlineStr" r="BW90"/>
      <x:c t="inlineStr" r="BX90"/>
      <x:c t="inlineStr" r="BY90">
        <x:is>
          <x:t>Campanha: Parada Completa</x:t>
        </x:is>
      </x:c>
      <x:c t="inlineStr" r="BZ90">
        <x:is>
          <x:t>Ipiranga</x:t>
        </x:is>
      </x:c>
      <x:c t="inlineStr" r="CA90"/>
      <x:c t="inlineStr" r="CB90"/>
      <x:c t="inlineStr" r="CC90"/>
      <x:c t="inlineStr" r="CD90">
        <x:is>
          <x:t>App KMV</x:t>
        </x:is>
      </x:c>
      <x:c t="inlineStr" r="CE90">
        <x:is>
          <x:t>Rock In Rio</x:t>
        </x:is>
      </x:c>
      <x:c t="inlineStr" r="CF90"/>
    </x:row>
    <x:row r="91">
      <x:c t="n" r="A91">
        <x:v>3718179450</x:v>
      </x:c>
      <x:c t="inlineStr" r="B91">
        <x:is>
          <x:t>27.08.2026</x:t>
        </x:is>
      </x:c>
      <x:c t="inlineStr" r="C91">
        <x:is>
          <x:t>16:59</x:t>
        </x:is>
      </x:c>
      <x:c t="inlineStr" r="D91">
        <x:is>
          <x:t>27.08.2026 17:50</x:t>
        </x:is>
      </x:c>
      <x:c t="inlineStr" r="E91">
        <x:is>
          <x:t/>
        </x:is>
      </x:c>
      <x:c t="str" r="F91">
        <x:v>✨ É hora de garantir seu lugar no show de mainha no Rock In Rio Brasil 2026. Os ingressos já estão disponíveis no app KMV.
Resgate seu ingresso de gramado usando pontos + dinheiro e ainda ganhe R$ 100 em vale-combustível. Antes de seguir para o festival, faça uma Parada Completa no Posto Ipiranga: abasteça com Ipimax, passe na AmPm ou no Jet Oil.
#Ipiranga #KMV #RockinRio2026</x:v>
      </x:c>
      <x:c t="inlineStr" r="G91">
        <x:is>
          <x:t/>
        </x:is>
      </x:c>
      <x:c t="inlineStr" r="H91"/>
      <x:c t="inlineStr" r="I91">
        <x:is>
          <x:t>Postar</x:t>
        </x:is>
      </x:c>
      <x:c t="inlineStr" r="J91">
        <x:is>
          <x:t>Texto,Imagem</x:t>
        </x:is>
      </x:c>
      <x:c t="inlineStr" r="K91"/>
      <x:c r="L91">
        <x:f>HYPERLINK("https://www.instagram.com/p/DcjmCGGg8fh/")</x:f>
      </x:c>
      <x:c t="inlineStr" r="M91">
        <x:is>
          <x:t>Negativo</x:t>
        </x:is>
      </x:c>
      <x:c t="inlineStr" r="N91">
        <x:is>
          <x:t>Mundo Veveta</x:t>
        </x:is>
      </x:c>
      <x:c t="inlineStr" r="O91">
        <x:is>
          <x:t>mundoveveta</x:t>
        </x:is>
      </x:c>
      <x:c r="P91">
        <x:f>HYPERLINK("https://www.instagram.com/mundoveveta/")</x:f>
      </x:c>
      <x:c t="n" r="Q91">
        <x:v>59433</x:v>
      </x:c>
      <x:c t="inlineStr" r="R91"/>
      <x:c t="inlineStr" r="S91"/>
      <x:c t="inlineStr" r="T91">
        <x:is>
          <x:t>instagram.com</x:t>
        </x:is>
      </x:c>
      <x:c t="inlineStr" r="U91">
        <x:is>
          <x:t>Mundo Veveta</x:t>
        </x:is>
      </x:c>
      <x:c r="V91">
        <x:f>HYPERLINK("https://www.instagram.com/mundoveveta/")</x:f>
      </x:c>
      <x:c t="n" r="W91">
        <x:v>59433</x:v>
      </x:c>
      <x:c t="inlineStr" r="X91"/>
      <x:c t="inlineStr" r="Y91">
        <x:is>
          <x:t>Rede social</x:t>
        </x:is>
      </x:c>
      <x:c t="inlineStr" r="Z91">
        <x:is>
          <x:t>Português</x:t>
        </x:is>
      </x:c>
      <x:c t="inlineStr" r="AA91"/>
      <x:c t="inlineStr" r="AB91"/>
      <x:c t="inlineStr" r="AC91"/>
      <x:c t="inlineStr" r="AD91"/>
      <x:c t="inlineStr" r="AE91"/>
      <x:c t="n" r="AF91">
        <x:v>0</x:v>
      </x:c>
      <x:c t="inlineStr" r="AG91"/>
      <x:c t="inlineStr" r="AH91"/>
      <x:c t="inlineStr" r="AI91"/>
      <x:c t="inlineStr" r="AJ91"/>
      <x:c t="inlineStr" r="AK91"/>
      <x:c t="inlineStr" r="AL91"/>
      <x:c t="inlineStr" r="AM91"/>
      <x:c t="inlineStr" r="AN91"/>
      <x:c t="n" r="AO91">
        <x:v>0</x:v>
      </x:c>
      <x:c t="inlineStr" r="AP91"/>
      <x:c t="inlineStr" r="AQ91"/>
      <x:c t="inlineStr" r="AR91"/>
      <x:c t="inlineStr" r="AS91"/>
      <x:c t="inlineStr" r="AT91"/>
      <x:c t="n" r="AU91">
        <x:v>59433</x:v>
      </x:c>
      <x:c t="inlineStr" r="AV91"/>
      <x:c t="inlineStr" r="AW91">
        <x:is>
          <x:t>Ipiranga,cannabis label</x:t>
        </x:is>
      </x:c>
      <x:c t="inlineStr" r="AX91">
        <x:is>
          <x:t>text,palm tree,plant,tree,poster,emblem</x:t>
        </x:is>
      </x:c>
      <x:c t="inlineStr" r="AY91">
        <x:is>
          <x:t>outdoor</x:t>
        </x:is>
      </x:c>
      <x:c t="inlineStr" r="AZ91">
        <x:is>
          <x:t/>
        </x:is>
      </x:c>
      <x:c t="inlineStr" r="BA91">
        <x:is>
          <x:t/>
        </x:is>
      </x:c>
      <x:c t="inlineStr" r="BB91">
        <x:is>
          <x:t>ILLUSTRATION</x:t>
        </x:is>
      </x:c>
      <x:c t="inlineStr" r="BC91">
        <x:is>
          <x:t>advertising</x:t>
        </x:is>
      </x:c>
      <x:c t="inlineStr" r="BD91">
        <x:is>
          <x:t>https://scontent-ams2-1.cdninstagram.com/v/t51.82787-15/788961989_18619993330035899_6047385584370533635_n.jpg?stp=dst-jpg_e35_tt6&amp;_nc_cat=100&amp;ccb=7-5&amp;_nc_sid=18de74&amp;efg=eyJlZmdfdGFnIjoiRkVFRC5iZXN0X2ltYWdlX3VybGdlbi5DMyJ9&amp;_nc_ohc=_Vx_79hyDDUQ7kNvwGQPy7l&amp;_nc_oc=AdpGjDb_PsaiDN5YFvK3MHAlyuTzZzVJ17uGlwhiytIt2dgC-UGCKxR4exLozaPnqBg&amp;_nc_zt=23&amp;_nc_ht=scontent-ams2-1.cdninstagram.com&amp;edm=AJ7ooaQEAAAA&amp;_nc_gid=8bxLcSkbpdANniU_nvL8og&amp;oh=00_AQE03jTyh8_h9wh5oHggq5N7mgh63SHGZ9yVb-U2n2J5Yg&amp;oe=6A966CC2</x:t>
        </x:is>
      </x:c>
      <x:c t="inlineStr" r="BE91">
        <x:is>
          <x:t/>
        </x:is>
      </x:c>
      <x:c t="inlineStr" r="BF91">
        <x:is>
          <x:t>Não</x:t>
        </x:is>
      </x:c>
      <x:c t="inlineStr" r="BG91"/>
      <x:c t="inlineStr" r="BH91">
        <x:is>
          <x:t/>
        </x:is>
      </x:c>
      <x:c t="inlineStr" r="BI91">
        <x:is>
          <x:t>Giveaway,Promoção</x:t>
        </x:is>
      </x:c>
      <x:c t="inlineStr" r="BJ91">
        <x:is>
          <x:t>Ao resgatar seus ingressos de gramado pelo app KMV, você ainda ganha R$ 100 em vale-combustível</x:t>
        </x:is>
      </x:c>
      <x:c t="inlineStr" r="BK91">
        <x:is>
          <x:t>Franquia - Jet Oil,Franquia - AmPm,Ipimax,Campanha: Parada Completa,Ipiranga,App KMV,Rock In Rio</x:t>
        </x:is>
      </x:c>
      <x:c t="inlineStr" r="BL91"/>
      <x:c t="inlineStr" r="BM91"/>
      <x:c t="inlineStr" r="BN91"/>
      <x:c t="inlineStr" r="BO91"/>
      <x:c t="inlineStr" r="BP91"/>
      <x:c t="inlineStr" r="BQ91"/>
      <x:c t="inlineStr" r="BR91"/>
      <x:c t="inlineStr" r="BS91"/>
      <x:c t="inlineStr" r="BT91"/>
      <x:c t="inlineStr" r="BU91"/>
      <x:c t="inlineStr" r="BV91">
        <x:is>
          <x:t>Franquia - AmPm</x:t>
        </x:is>
      </x:c>
      <x:c t="inlineStr" r="BW91">
        <x:is>
          <x:t>Ipimax</x:t>
        </x:is>
      </x:c>
      <x:c t="inlineStr" r="BX91">
        <x:is>
          <x:t>Franquia - Jet Oil</x:t>
        </x:is>
      </x:c>
      <x:c t="inlineStr" r="BY91">
        <x:is>
          <x:t>Campanha: Parada Completa</x:t>
        </x:is>
      </x:c>
      <x:c t="inlineStr" r="BZ91">
        <x:is>
          <x:t>Ipiranga</x:t>
        </x:is>
      </x:c>
      <x:c t="inlineStr" r="CA91"/>
      <x:c t="inlineStr" r="CB91"/>
      <x:c t="inlineStr" r="CC91"/>
      <x:c t="inlineStr" r="CD91">
        <x:is>
          <x:t>App KMV</x:t>
        </x:is>
      </x:c>
      <x:c t="inlineStr" r="CE91">
        <x:is>
          <x:t>Rock In Rio</x:t>
        </x:is>
      </x:c>
      <x:c t="inlineStr" r="CF91"/>
    </x:row>
    <x:row r="92">
      <x:c t="n" r="A92">
        <x:v>2092528031</x:v>
      </x:c>
      <x:c t="inlineStr" r="B92">
        <x:is>
          <x:t>27.08.2026</x:t>
        </x:is>
      </x:c>
      <x:c t="inlineStr" r="C92">
        <x:is>
          <x:t>08:02</x:t>
        </x:is>
      </x:c>
      <x:c t="inlineStr" r="D92">
        <x:is>
          <x:t>27.08.2026 09:09</x:t>
        </x:is>
      </x:c>
      <x:c t="inlineStr" r="E92">
        <x:is>
          <x:t/>
        </x:is>
      </x:c>
      <x:c t="str" r="F92">
        <x:v>O Rock in Rio começa semana que vem e por aqui a ansiedade já está ON! 🖤🎸
Já escolheram seus looks? Por aqui, estou montando os meus e já pensando em cada produção para curtir muito a Cidade do Rock! rockinrio featrockinrio 
E algumas peças usei da cea_brasil 
Qual look vocês mais gostaram? 👀
#rockinrio #lookrockinrio #rockinrio2026 #cidadedorock #rock</x:v>
      </x:c>
      <x:c t="inlineStr" r="G92">
        <x:is>
          <x:t/>
        </x:is>
      </x:c>
      <x:c t="inlineStr" r="H92"/>
      <x:c t="inlineStr" r="I92">
        <x:is>
          <x:t>Postar</x:t>
        </x:is>
      </x:c>
      <x:c t="inlineStr" r="J92">
        <x:is>
          <x:t>Texto,Vídeo</x:t>
        </x:is>
      </x:c>
      <x:c t="inlineStr" r="K92">
        <x:is>
          <x:t>InstagramReels</x:t>
        </x:is>
      </x:c>
      <x:c r="L92">
        <x:f>HYPERLINK("https://www.instagram.com/reel/Dcinn7xsMbl/")</x:f>
      </x:c>
      <x:c t="inlineStr" r="M92">
        <x:is>
          <x:t>Negativo</x:t>
        </x:is>
      </x:c>
      <x:c t="inlineStr" r="N92">
        <x:is>
          <x:t>Dayane Rocha</x:t>
        </x:is>
      </x:c>
      <x:c t="inlineStr" r="O92">
        <x:is>
          <x:t>dayaneblogueira</x:t>
        </x:is>
      </x:c>
      <x:c r="P92">
        <x:f>HYPERLINK("https://www.instagram.com/dayaneblogueira/")</x:f>
      </x:c>
      <x:c t="n" r="Q92">
        <x:v>5557</x:v>
      </x:c>
      <x:c t="inlineStr" r="R92">
        <x:is>
          <x:t>Mulher</x:t>
        </x:is>
      </x:c>
      <x:c t="inlineStr" r="S92"/>
      <x:c t="inlineStr" r="T92">
        <x:is>
          <x:t>instagram.com</x:t>
        </x:is>
      </x:c>
      <x:c t="inlineStr" r="U92">
        <x:is>
          <x:t>Dayane Rocha</x:t>
        </x:is>
      </x:c>
      <x:c r="V92">
        <x:f>HYPERLINK("https://www.instagram.com/dayaneblogueira/")</x:f>
      </x:c>
      <x:c t="n" r="W92">
        <x:v>5557</x:v>
      </x:c>
      <x:c t="inlineStr" r="X92"/>
      <x:c t="inlineStr" r="Y92">
        <x:is>
          <x:t>Rede social</x:t>
        </x:is>
      </x:c>
      <x:c t="inlineStr" r="Z92">
        <x:is>
          <x:t>Português</x:t>
        </x:is>
      </x:c>
      <x:c t="inlineStr" r="AA92"/>
      <x:c t="inlineStr" r="AB92"/>
      <x:c t="inlineStr" r="AC92"/>
      <x:c t="inlineStr" r="AD92"/>
      <x:c t="n" r="AE92">
        <x:v>11</x:v>
      </x:c>
      <x:c t="n" r="AF92">
        <x:v>21</x:v>
      </x:c>
      <x:c t="n" r="AG92">
        <x:v>11</x:v>
      </x:c>
      <x:c t="inlineStr" r="AH92"/>
      <x:c t="inlineStr" r="AI92"/>
      <x:c t="inlineStr" r="AJ92"/>
      <x:c t="inlineStr" r="AK92"/>
      <x:c t="inlineStr" r="AL92"/>
      <x:c t="inlineStr" r="AM92"/>
      <x:c t="inlineStr" r="AN92"/>
      <x:c t="n" r="AO92">
        <x:v>10</x:v>
      </x:c>
      <x:c t="inlineStr" r="AP92"/>
      <x:c t="inlineStr" r="AQ92"/>
      <x:c t="inlineStr" r="AR92"/>
      <x:c t="inlineStr" r="AS92"/>
      <x:c t="inlineStr" r="AT92"/>
      <x:c t="n" r="AU92">
        <x:v>5557</x:v>
      </x:c>
      <x:c t="inlineStr" r="AV92"/>
      <x:c t="inlineStr" r="AW92">
        <x:is>
          <x:t/>
        </x:is>
      </x:c>
      <x:c t="inlineStr" r="AX92">
        <x:is>
          <x:t>text,clothing,jewellery,skin,necklace,bracelet,shirt,hairstyle,long hair,thigh,lighting</x:t>
        </x:is>
      </x:c>
      <x:c t="inlineStr" r="AY92">
        <x:is>
          <x:t>fashion,street fashion</x:t>
        </x:is>
      </x:c>
      <x:c t="inlineStr" r="AZ92">
        <x:is>
          <x:t>woman,model</x:t>
        </x:is>
      </x:c>
      <x:c t="inlineStr" r="BA92">
        <x:is>
          <x:t>standing</x:t>
        </x:is>
      </x:c>
      <x:c t="inlineStr" r="BB92">
        <x:is>
          <x:t>ILLUSTRATION</x:t>
        </x:is>
      </x:c>
      <x:c t="inlineStr" r="BC92">
        <x:is>
          <x:t>photo caption</x:t>
        </x:is>
      </x:c>
      <x:c t="inlineStr" r="BD92">
        <x:is>
          <x:t>https://scontent-ams2-1.cdninstagram.com/v/t51.82787-15/786157552_18619148800009895_6341466063603007362_n.jpg?stp=dst-jpg_e35_tt6&amp;_nc_cat=108&amp;ccb=7-5&amp;_nc_sid=18de74&amp;efg=eyJlZmdfdGFnIjoiQ0xJUFMuYmVzdF9pbWFnZV91cmxnZW4uQzMifQ%3D%3D&amp;_nc_ohc=ToViqVqVYoMQ7kNvwEYNZ8a&amp;_nc_oc=Adr_hh-J__XBHbpbRjd0-OLGX_ZmajFBp2nPDoCRajCzWGSm-_Xh8uduIsWcJNyS4JM&amp;_nc_zt=23&amp;_nc_ht=scontent-ams2-1.cdninstagram.com&amp;edm=AJ7ooaQEAAAA&amp;_nc_gid=IZLCEyXX0xg5jMasVyyHrA&amp;_nc_tpa=Q5bMBQKyPZY7v0Gig6b4XhmXjFoWkSSwtsRJwj9Q4Uys3O5K-dcCRcB1FPWuwZvXlQlZeHEoU6ykhf3W7w&amp;oh=00_AQGuhKkhnadjCGm6Zos_D_uxKX3bb2C_fpLTQx3aTYW3GQ&amp;oe=6A95F0FD</x:t>
        </x:is>
      </x:c>
      <x:c t="inlineStr" r="BE92">
        <x:is>
          <x:t/>
        </x:is>
      </x:c>
      <x:c t="inlineStr" r="BF92">
        <x:is>
          <x:t>Não</x:t>
        </x:is>
      </x:c>
      <x:c t="inlineStr" r="BG92"/>
      <x:c t="inlineStr" r="BH92">
        <x:is>
          <x:t/>
        </x:is>
      </x:c>
      <x:c t="inlineStr" r="BI92">
        <x:is>
          <x:t>WOM</x:t>
        </x:is>
      </x:c>
      <x:c t="inlineStr" r="BJ92">
        <x:is>
          <x:t>O Rock in Rio começa semana que vem e por aqui a ansiedade já está ON!</x:t>
        </x:is>
      </x:c>
      <x:c t="inlineStr" r="BK92">
        <x:is>
          <x:t>Rock In Rio</x:t>
        </x:is>
      </x:c>
      <x:c t="inlineStr" r="BL92"/>
      <x:c t="inlineStr" r="BM92"/>
      <x:c t="inlineStr" r="BN92"/>
      <x:c t="inlineStr" r="BO92"/>
      <x:c t="inlineStr" r="BP92"/>
      <x:c t="inlineStr" r="BQ92"/>
      <x:c t="inlineStr" r="BR92"/>
      <x:c t="inlineStr" r="BS92"/>
      <x:c t="inlineStr" r="BT92"/>
      <x:c t="inlineStr" r="BU92"/>
      <x:c t="inlineStr" r="BV92"/>
      <x:c t="inlineStr" r="BW92"/>
      <x:c t="inlineStr" r="BX92"/>
      <x:c t="inlineStr" r="BY92"/>
      <x:c t="inlineStr" r="BZ92"/>
      <x:c t="inlineStr" r="CA92"/>
      <x:c t="inlineStr" r="CB92"/>
      <x:c t="inlineStr" r="CC92"/>
      <x:c t="inlineStr" r="CD92"/>
      <x:c t="inlineStr" r="CE92">
        <x:is>
          <x:t>Rock In Rio</x:t>
        </x:is>
      </x:c>
      <x:c t="inlineStr" r="CF92"/>
    </x:row>
    <x:row r="93">
      <x:c t="n" r="A93">
        <x:v>4176238161</x:v>
      </x:c>
      <x:c t="inlineStr" r="B93">
        <x:is>
          <x:t>26.08.2026</x:t>
        </x:is>
      </x:c>
      <x:c t="inlineStr" r="C93">
        <x:is>
          <x:t>14:30</x:t>
        </x:is>
      </x:c>
      <x:c t="inlineStr" r="D93">
        <x:is>
          <x:t>26.08.2026 14:47</x:t>
        </x:is>
      </x:c>
      <x:c t="inlineStr" r="E93">
        <x:is>
          <x:t/>
        </x:is>
      </x:c>
      <x:c t="str" r="F93">
        <x:v>Há alguns anos, um dos grandes atrativos das marcas para conquistar e reter a atenção do público durante os festivais são, sem dúvida, as ativações e, consequentemente, os brindes. Faltando 9 dias para a edição do Rock in Rio 2026, preparamos um material para os fãs que passarão pela Cidade do Rock durante os dias de festival, reunindo alguns dos principais brindes que serão distribuídos durante o evento.
Nesta edição, o público poderá vivenciar mais de 100 ativações e 8 mil horas de experiências espalhadas por toda a Cidade do Rock. Neste ano, só fica sem brinde quem quiser. O festival anunciou o recorde histórico de 1 milhão de brindes, que serão distribuídos ao longo dos dias de evento, com opções que vão de mini câmeras a “bichinhos virtuais” inspirados nos famosos Tamagotchis.
Leia mais em nosso site! Link na bio
#RockInRio #Brindes #Marcas #Eventos #Eventos</x:v>
      </x:c>
      <x:c t="inlineStr" r="G93">
        <x:is>
          <x:t/>
        </x:is>
      </x:c>
      <x:c t="inlineStr" r="H93"/>
      <x:c t="inlineStr" r="I93">
        <x:is>
          <x:t>Postar</x:t>
        </x:is>
      </x:c>
      <x:c t="inlineStr" r="J93">
        <x:is>
          <x:t>Texto,Álbum,Imagem</x:t>
        </x:is>
      </x:c>
      <x:c t="inlineStr" r="K93"/>
      <x:c r="L93">
        <x:f>HYPERLINK("https://www.instagram.com/p/DcgwOdXiW-y/")</x:f>
      </x:c>
      <x:c t="inlineStr" r="M93">
        <x:is>
          <x:t>Negativo</x:t>
        </x:is>
      </x:c>
      <x:c t="inlineStr" r="N93">
        <x:is>
          <x:t>GKPB</x:t>
        </x:is>
      </x:c>
      <x:c t="inlineStr" r="O93">
        <x:is>
          <x:t>gkpb.oficial</x:t>
        </x:is>
      </x:c>
      <x:c r="P93">
        <x:f>HYPERLINK("https://www.instagram.com/gkpb.oficial/")</x:f>
      </x:c>
      <x:c t="n" r="Q93">
        <x:v>114866</x:v>
      </x:c>
      <x:c t="inlineStr" r="R93"/>
      <x:c t="inlineStr" r="S93"/>
      <x:c t="inlineStr" r="T93">
        <x:is>
          <x:t>instagram.com</x:t>
        </x:is>
      </x:c>
      <x:c t="inlineStr" r="U93">
        <x:is>
          <x:t>GKPB</x:t>
        </x:is>
      </x:c>
      <x:c r="V93">
        <x:f>HYPERLINK("https://www.instagram.com/gkpb.oficial/")</x:f>
      </x:c>
      <x:c t="n" r="W93">
        <x:v>114866</x:v>
      </x:c>
      <x:c t="inlineStr" r="X93"/>
      <x:c t="inlineStr" r="Y93">
        <x:is>
          <x:t>Rede social</x:t>
        </x:is>
      </x:c>
      <x:c t="inlineStr" r="Z93">
        <x:is>
          <x:t>Português</x:t>
        </x:is>
      </x:c>
      <x:c t="inlineStr" r="AA93"/>
      <x:c t="inlineStr" r="AB93"/>
      <x:c t="inlineStr" r="AC93"/>
      <x:c t="inlineStr" r="AD93"/>
      <x:c t="n" r="AE93">
        <x:v>24</x:v>
      </x:c>
      <x:c t="n" r="AF93">
        <x:v>24</x:v>
      </x:c>
      <x:c t="n" r="AG93">
        <x:v>24</x:v>
      </x:c>
      <x:c t="inlineStr" r="AH93"/>
      <x:c t="inlineStr" r="AI93"/>
      <x:c t="inlineStr" r="AJ93"/>
      <x:c t="inlineStr" r="AK93"/>
      <x:c t="inlineStr" r="AL93"/>
      <x:c t="inlineStr" r="AM93"/>
      <x:c t="inlineStr" r="AN93"/>
      <x:c t="n" r="AO93">
        <x:v>0</x:v>
      </x:c>
      <x:c t="inlineStr" r="AP93"/>
      <x:c t="inlineStr" r="AQ93"/>
      <x:c t="inlineStr" r="AR93"/>
      <x:c t="inlineStr" r="AS93"/>
      <x:c t="inlineStr" r="AT93"/>
      <x:c t="n" r="AU93">
        <x:v>114866</x:v>
      </x:c>
      <x:c t="inlineStr" r="AV93"/>
      <x:c t="inlineStr" r="AW93">
        <x:is>
          <x:t>CocaCola,DHL</x:t>
        </x:is>
      </x:c>
      <x:c t="inlineStr" r="AX93">
        <x:is>
          <x:t>text,headphones</x:t>
        </x:is>
      </x:c>
      <x:c t="inlineStr" r="AY93">
        <x:is>
          <x:t/>
        </x:is>
      </x:c>
      <x:c t="inlineStr" r="AZ93">
        <x:is>
          <x:t/>
        </x:is>
      </x:c>
      <x:c t="inlineStr" r="BA93">
        <x:is>
          <x:t/>
        </x:is>
      </x:c>
      <x:c t="inlineStr" r="BB93">
        <x:is>
          <x:t>ILLUSTRATION</x:t>
        </x:is>
      </x:c>
      <x:c t="inlineStr" r="BC93">
        <x:is>
          <x:t>advertising</x:t>
        </x:is>
      </x:c>
      <x:c t="inlineStr" r="BD93">
        <x:is>
          <x:t>https://scontent-ams2-1.cdninstagram.com/v/t51.82787-15/786938966_18100357874212751_4389210540607784654_n.webp?stp=dst-jpg_e35_tt6&amp;_nc_cat=101&amp;ccb=7-5&amp;_nc_sid=18de74&amp;efg=eyJlZmdfdGFnIjoiQ0FST1VTRUxfSVRFTS5iZXN0X2ltYWdlX3VybGdlbi5DMyJ9&amp;_nc_ohc=HTm0hkeoQ-gQ7kNvwGgX8by&amp;_nc_oc=AdpUuAGbJ1wiwWi8DUeXPY5OLNsDDQ4oMlgpSvtCcDtUYirPXrmEQWfoHHivorJ3WZE&amp;_nc_zt=23&amp;_nc_ht=scontent-ams2-1.cdninstagram.com&amp;edm=AJ7ooaQEAAAA&amp;_nc_gid=CzJxTIpHrOPo8ldKm7-_eQ&amp;oh=00_AQG1PNuKQdREBB3JBuZXhQSQWPaoRQb56vsUK4iwWnMwtA&amp;oe=6A94F976</x:t>
        </x:is>
      </x:c>
      <x:c t="inlineStr" r="BE93">
        <x:is>
          <x:t/>
        </x:is>
      </x:c>
      <x:c t="inlineStr" r="BF93">
        <x:is>
          <x:t>Não</x:t>
        </x:is>
      </x:c>
      <x:c t="inlineStr" r="BG93"/>
      <x:c t="inlineStr" r="BH93">
        <x:is>
          <x:t>Acontecimento</x:t>
        </x:is>
      </x:c>
      <x:c t="inlineStr" r="BI93">
        <x:is>
          <x:t>Artigo</x:t>
        </x:is>
      </x:c>
      <x:c t="inlineStr" r="BJ93">
        <x:is>
          <x:t>Há alguns anos, um dos grandes atrativos das marcas para conquistar e reter a atenção do público durante os festivais são, sem dúvida, as ativações e, consequentemente, os bri...</x:t>
        </x:is>
      </x:c>
      <x:c t="inlineStr" r="BK93">
        <x:is>
          <x:t>Rock In Rio</x:t>
        </x:is>
      </x:c>
      <x:c t="inlineStr" r="BL93"/>
      <x:c t="inlineStr" r="BM93"/>
      <x:c t="inlineStr" r="BN93"/>
      <x:c t="inlineStr" r="BO93"/>
      <x:c t="inlineStr" r="BP93"/>
      <x:c t="inlineStr" r="BQ93"/>
      <x:c t="inlineStr" r="BR93"/>
      <x:c t="inlineStr" r="BS93"/>
      <x:c t="inlineStr" r="BT93"/>
      <x:c t="inlineStr" r="BU93"/>
      <x:c t="inlineStr" r="BV93"/>
      <x:c t="inlineStr" r="BW93"/>
      <x:c t="inlineStr" r="BX93"/>
      <x:c t="inlineStr" r="BY93"/>
      <x:c t="inlineStr" r="BZ93"/>
      <x:c t="inlineStr" r="CA93"/>
      <x:c t="inlineStr" r="CB93"/>
      <x:c t="inlineStr" r="CC93"/>
      <x:c t="inlineStr" r="CD93"/>
      <x:c t="inlineStr" r="CE93">
        <x:is>
          <x:t>Rock In Rio</x:t>
        </x:is>
      </x:c>
      <x:c t="inlineStr" r="CF93"/>
    </x:row>
    <x:row r="94">
      <x:c t="n" r="A94">
        <x:v>1327837115</x:v>
      </x:c>
      <x:c t="inlineStr" r="B94">
        <x:is>
          <x:t>26.08.2026</x:t>
        </x:is>
      </x:c>
      <x:c t="inlineStr" r="C94">
        <x:is>
          <x:t>09:28</x:t>
        </x:is>
      </x:c>
      <x:c t="inlineStr" r="D94">
        <x:is>
          <x:t>26.08.2026 23:17</x:t>
        </x:is>
      </x:c>
      <x:c t="inlineStr" r="E94">
        <x:is>
          <x:t/>
        </x:is>
      </x:c>
      <x:c t="str" r="F94">
        <x:v>Já tá na hora de começar a se planejar pro ​
Rock in Rio Brasil 2026. ​
​
Se você precisa viajar até o Rio de Janeiro pra curtir o festival, a sua viagem fica ainda mais completa com os descontos e benefícios pra usar com nossos parceiros KMV. 🎸⛽​
​
Além disso, no app KMV você pode fazer o resgate do seu ingresso para o Rock in Rio Brasil 2026 e ainda ganha R$100,00 em vale-combustível.​ 
Vem pra Rede de Postos 3 Irmãos, seu Rock in Rio Brasil 2026 começa aqui!
​
#Ipiranga #KMV #RockInRioBrasil2026 #redepostos3irmãos #ParadaCompleta​</x:v>
      </x:c>
      <x:c t="inlineStr" r="G94">
        <x:is>
          <x:t/>
        </x:is>
      </x:c>
      <x:c t="inlineStr" r="H94"/>
      <x:c t="inlineStr" r="I94">
        <x:is>
          <x:t>Postar</x:t>
        </x:is>
      </x:c>
      <x:c t="inlineStr" r="J94">
        <x:is>
          <x:t>Texto,Vídeo</x:t>
        </x:is>
      </x:c>
      <x:c t="inlineStr" r="K94"/>
      <x:c r="L94">
        <x:f>HYPERLINK("https://www.instagram.com/p/DcgNgZ7O1w8/")</x:f>
      </x:c>
      <x:c t="inlineStr" r="M94">
        <x:is>
          <x:t>Negativo</x:t>
        </x:is>
      </x:c>
      <x:c t="inlineStr" r="N94">
        <x:is>
          <x:t>Rede Postos 3 Irmãos</x:t>
        </x:is>
      </x:c>
      <x:c t="inlineStr" r="O94">
        <x:is>
          <x:t>redepostos3irmaos</x:t>
        </x:is>
      </x:c>
      <x:c r="P94">
        <x:f>HYPERLINK("http://instagram.com/redepostos3irmaos")</x:f>
      </x:c>
      <x:c t="n" r="Q94">
        <x:v>294</x:v>
      </x:c>
      <x:c t="inlineStr" r="R94"/>
      <x:c t="inlineStr" r="S94"/>
      <x:c t="inlineStr" r="T94">
        <x:is>
          <x:t>instagram.com</x:t>
        </x:is>
      </x:c>
      <x:c t="inlineStr" r="U94">
        <x:is>
          <x:t>Rede Postos 3 Irmãos</x:t>
        </x:is>
      </x:c>
      <x:c r="V94">
        <x:f>HYPERLINK("http://instagram.com/redepostos3irmaos")</x:f>
      </x:c>
      <x:c t="n" r="W94">
        <x:v>294</x:v>
      </x:c>
      <x:c t="inlineStr" r="X94"/>
      <x:c t="inlineStr" r="Y94">
        <x:is>
          <x:t>Rede social</x:t>
        </x:is>
      </x:c>
      <x:c t="inlineStr" r="Z94">
        <x:is>
          <x:t>Português</x:t>
        </x:is>
      </x:c>
      <x:c t="inlineStr" r="AA94"/>
      <x:c t="inlineStr" r="AB94"/>
      <x:c t="inlineStr" r="AC94"/>
      <x:c t="inlineStr" r="AD94"/>
      <x:c t="n" r="AE94">
        <x:v>2</x:v>
      </x:c>
      <x:c t="n" r="AF94">
        <x:v>2</x:v>
      </x:c>
      <x:c t="n" r="AG94">
        <x:v>2</x:v>
      </x:c>
      <x:c t="inlineStr" r="AH94"/>
      <x:c t="inlineStr" r="AI94"/>
      <x:c t="inlineStr" r="AJ94"/>
      <x:c t="inlineStr" r="AK94"/>
      <x:c t="inlineStr" r="AL94"/>
      <x:c t="inlineStr" r="AM94"/>
      <x:c t="inlineStr" r="AN94"/>
      <x:c t="n" r="AO94">
        <x:v>0</x:v>
      </x:c>
      <x:c t="inlineStr" r="AP94"/>
      <x:c t="inlineStr" r="AQ94"/>
      <x:c t="inlineStr" r="AR94"/>
      <x:c t="inlineStr" r="AS94"/>
      <x:c t="inlineStr" r="AT94"/>
      <x:c t="n" r="AU94">
        <x:v>294</x:v>
      </x:c>
      <x:c t="inlineStr" r="AV94"/>
      <x:c t="inlineStr" r="AW94">
        <x:is>
          <x:t/>
        </x:is>
      </x:c>
      <x:c t="inlineStr" r="AX94">
        <x:is>
          <x:t>sky</x:t>
        </x:is>
      </x:c>
      <x:c t="inlineStr" r="AY94">
        <x:is>
          <x:t>outdoor</x:t>
        </x:is>
      </x:c>
      <x:c t="inlineStr" r="AZ94">
        <x:is>
          <x:t>man</x:t>
        </x:is>
      </x:c>
      <x:c t="inlineStr" r="BA94">
        <x:is>
          <x:t/>
        </x:is>
      </x:c>
      <x:c t="inlineStr" r="BB94">
        <x:is>
          <x:t>PHOTO</x:t>
        </x:is>
      </x:c>
      <x:c t="inlineStr" r="BC94"/>
      <x:c t="inlineStr" r="BD94">
        <x:is>
          <x:t>https://scontent.cdninstagram.com/v/t51.71878-15/787059965_1990121555029859_8881922018901848588_n.jpg?stp=dst-jpg_e15_tt6&amp;_nc_cat=109&amp;ig_cache_key=Mzk3MjIzNDI3MjgwNTk2ODk1Ng%3D%3D.3-ccb7-5&amp;ccb=7-5&amp;_nc_sid=58cdad&amp;efg=eyJ2ZW5jb2RlX3RhZyI6IkNMSVBTLnhwaWRzLjY0MC5zZHIudmlkZW9fZGVmYXVsdF9jb3Zlcl9mcmFtZS5DMyJ9&amp;_nc_ohc=f-heKpiye0IQ7kNvwHk8qWh&amp;_nc_oc=AdqlgA9m-gtsBOoI9zWiP193qhXZa60pIMmfay3kujiwHkWSAbbR3Xw1PTCATlUYp8Y&amp;_nc_zt=23&amp;_nc_ht=scontent.cdninstagram.com&amp;_nc_gid=Ey7NFgf5o3lgXfk3niGkrw&amp;_nc_ss=70689&amp;oh=00_AQE5r8jVkcqiC36GiUE_8y6_naKlNTXGIlrd8r9hJW0M8w&amp;oe=6A958B97</x:t>
        </x:is>
      </x:c>
      <x:c t="inlineStr" r="BE94">
        <x:is>
          <x:t/>
        </x:is>
      </x:c>
      <x:c t="inlineStr" r="BF94">
        <x:is>
          <x:t>Não</x:t>
        </x:is>
      </x:c>
      <x:c t="inlineStr" r="BG94"/>
      <x:c t="inlineStr" r="BH94">
        <x:is>
          <x:t/>
        </x:is>
      </x:c>
      <x:c t="inlineStr" r="BI94">
        <x:is>
          <x:t>Promoção</x:t>
        </x:is>
      </x:c>
      <x:c t="inlineStr" r="BJ94"/>
      <x:c t="inlineStr" r="BK94">
        <x:is>
          <x:t>Ipiranga,App KMV,Rock In Rio</x:t>
        </x:is>
      </x:c>
      <x:c t="inlineStr" r="BL94"/>
      <x:c t="inlineStr" r="BM94"/>
      <x:c t="inlineStr" r="BN94"/>
      <x:c t="inlineStr" r="BO94"/>
      <x:c t="inlineStr" r="BP94"/>
      <x:c t="inlineStr" r="BQ94"/>
      <x:c t="inlineStr" r="BR94"/>
      <x:c t="inlineStr" r="BS94"/>
      <x:c t="inlineStr" r="BT94"/>
      <x:c t="inlineStr" r="BU94"/>
      <x:c t="inlineStr" r="BV94"/>
      <x:c t="inlineStr" r="BW94"/>
      <x:c t="inlineStr" r="BX94"/>
      <x:c t="inlineStr" r="BY94"/>
      <x:c t="inlineStr" r="BZ94">
        <x:is>
          <x:t>Ipiranga</x:t>
        </x:is>
      </x:c>
      <x:c t="inlineStr" r="CA94"/>
      <x:c t="inlineStr" r="CB94"/>
      <x:c t="inlineStr" r="CC94"/>
      <x:c t="inlineStr" r="CD94">
        <x:is>
          <x:t>App KMV</x:t>
        </x:is>
      </x:c>
      <x:c t="inlineStr" r="CE94">
        <x:is>
          <x:t>Rock In Rio</x:t>
        </x:is>
      </x:c>
      <x:c t="inlineStr" r="CF94"/>
    </x:row>
    <x:row r="95">
      <x:c t="n" r="A95">
        <x:v>3085545724</x:v>
      </x:c>
      <x:c t="inlineStr" r="B95">
        <x:is>
          <x:t>26.08.2026</x:t>
        </x:is>
      </x:c>
      <x:c t="inlineStr" r="C95">
        <x:is>
          <x:t>09:20</x:t>
        </x:is>
      </x:c>
      <x:c t="inlineStr" r="D95">
        <x:is>
          <x:t>26.08.2026 09:26</x:t>
        </x:is>
      </x:c>
      <x:c t="inlineStr" r="E95">
        <x:is>
          <x:t/>
        </x:is>
      </x:c>
      <x:c t="str" r="F95">
        <x:v>EU TE VEJO LÁ ????
.
.
#instagram #reels #brasil #rockinrio #viralpost</x:v>
      </x:c>
      <x:c t="inlineStr" r="G95">
        <x:is>
          <x:t/>
        </x:is>
      </x:c>
      <x:c t="inlineStr" r="H95"/>
      <x:c t="inlineStr" r="I95">
        <x:is>
          <x:t>Postar</x:t>
        </x:is>
      </x:c>
      <x:c t="inlineStr" r="J95">
        <x:is>
          <x:t>Texto,Vídeo</x:t>
        </x:is>
      </x:c>
      <x:c t="inlineStr" r="K95">
        <x:is>
          <x:t>InstagramReels</x:t>
        </x:is>
      </x:c>
      <x:c r="L95">
        <x:f>HYPERLINK("https://www.instagram.com/reel/DcgMDZpxfUm/")</x:f>
      </x:c>
      <x:c t="inlineStr" r="M95">
        <x:is>
          <x:t>Negativo</x:t>
        </x:is>
      </x:c>
      <x:c t="inlineStr" r="N95">
        <x:is>
          <x:t>Romeiro</x:t>
        </x:is>
      </x:c>
      <x:c t="inlineStr" r="O95">
        <x:is>
          <x:t>andreromeiiro</x:t>
        </x:is>
      </x:c>
      <x:c r="P95">
        <x:f>HYPERLINK("https://www.instagram.com/andreromeiiro/")</x:f>
      </x:c>
      <x:c t="n" r="Q95">
        <x:v>3307</x:v>
      </x:c>
      <x:c t="inlineStr" r="R95">
        <x:is>
          <x:t>Homem</x:t>
        </x:is>
      </x:c>
      <x:c t="inlineStr" r="S95"/>
      <x:c t="inlineStr" r="T95">
        <x:is>
          <x:t>instagram.com</x:t>
        </x:is>
      </x:c>
      <x:c t="inlineStr" r="U95">
        <x:is>
          <x:t>Romeiro</x:t>
        </x:is>
      </x:c>
      <x:c r="V95">
        <x:f>HYPERLINK("https://www.instagram.com/andreromeiiro/")</x:f>
      </x:c>
      <x:c t="n" r="W95">
        <x:v>3307</x:v>
      </x:c>
      <x:c t="inlineStr" r="X95"/>
      <x:c t="inlineStr" r="Y95">
        <x:is>
          <x:t>Rede social</x:t>
        </x:is>
      </x:c>
      <x:c t="inlineStr" r="Z95">
        <x:is>
          <x:t>Português</x:t>
        </x:is>
      </x:c>
      <x:c t="inlineStr" r="AA95"/>
      <x:c t="inlineStr" r="AB95"/>
      <x:c t="inlineStr" r="AC95"/>
      <x:c t="inlineStr" r="AD95"/>
      <x:c t="n" r="AE95">
        <x:v>1</x:v>
      </x:c>
      <x:c t="n" r="AF95">
        <x:v>1</x:v>
      </x:c>
      <x:c t="n" r="AG95">
        <x:v>1</x:v>
      </x:c>
      <x:c t="inlineStr" r="AH95"/>
      <x:c t="inlineStr" r="AI95"/>
      <x:c t="inlineStr" r="AJ95"/>
      <x:c t="inlineStr" r="AK95"/>
      <x:c t="inlineStr" r="AL95"/>
      <x:c t="inlineStr" r="AM95"/>
      <x:c t="inlineStr" r="AN95"/>
      <x:c t="n" r="AO95">
        <x:v>0</x:v>
      </x:c>
      <x:c t="inlineStr" r="AP95"/>
      <x:c t="inlineStr" r="AQ95"/>
      <x:c t="inlineStr" r="AR95"/>
      <x:c t="inlineStr" r="AS95"/>
      <x:c t="inlineStr" r="AT95"/>
      <x:c t="n" r="AU95">
        <x:v>3307</x:v>
      </x:c>
      <x:c t="inlineStr" r="AV95"/>
      <x:c t="inlineStr" r="AW95">
        <x:is>
          <x:t/>
        </x:is>
      </x:c>
      <x:c t="inlineStr" r="AX95">
        <x:is>
          <x:t>clothing,shirt,finger,text,glasses,skin,black hair,hairstyle,nail,wrist,emblem</x:t>
        </x:is>
      </x:c>
      <x:c t="inlineStr" r="AY95">
        <x:is>
          <x:t/>
        </x:is>
      </x:c>
      <x:c t="inlineStr" r="AZ95">
        <x:is>
          <x:t>man</x:t>
        </x:is>
      </x:c>
      <x:c t="inlineStr" r="BA95">
        <x:is>
          <x:t/>
        </x:is>
      </x:c>
      <x:c t="inlineStr" r="BB95">
        <x:is>
          <x:t>ILLUSTRATION</x:t>
        </x:is>
      </x:c>
      <x:c t="inlineStr" r="BC95"/>
      <x:c t="inlineStr" r="BD95">
        <x:is>
          <x:t>https://scontent-ams2-1.cdninstagram.com/v/t51.82787-15/787036393_18625010428026819_4197908655232683964_n.jpg?stp=dst-jpg_e35_tt6&amp;_nc_cat=107&amp;ccb=7-5&amp;_nc_sid=18de74&amp;efg=eyJlZmdfdGFnIjoiQ0xJUFMuYmVzdF9pbWFnZV91cmxnZW4uQzMifQ%3D%3D&amp;_nc_ohc=PZIpExzdLpcQ7kNvwFBViFs&amp;_nc_oc=AdrrkBTfb0d7FYM8nteBJLdvB21A9xQBfXSaZ6boLCfx9Uo6c7HUJDOr_cqzXn_wDxY&amp;_nc_zt=23&amp;_nc_ht=scontent-ams2-1.cdninstagram.com&amp;edm=AJ7ooaQEAAAA&amp;_nc_gid=UjLxpcUH8DVA7uD-H0uHpQ&amp;_nc_tpa=Q5bMBQIUjllpytk_AT_mUZEZTcdHeyJpELJI5bkIKHSoK1um_Kzsi-simjYVN_5ES_YW3TXvOCQEw3n9GQ&amp;oh=00_AQHO6ri0OKt853aOAzF3oe9Cw52MFVXQIJjiQ7lG75IjIQ&amp;oe=6A94BE4B</x:t>
        </x:is>
      </x:c>
      <x:c t="inlineStr" r="BE95">
        <x:is>
          <x:t/>
        </x:is>
      </x:c>
      <x:c t="inlineStr" r="BF95">
        <x:is>
          <x:t>Não</x:t>
        </x:is>
      </x:c>
      <x:c t="inlineStr" r="BG95"/>
      <x:c t="inlineStr" r="BH95">
        <x:is>
          <x:t/>
        </x:is>
      </x:c>
      <x:c t="inlineStr" r="BI95">
        <x:is>
          <x:t>WOM</x:t>
        </x:is>
      </x:c>
      <x:c t="inlineStr" r="BJ95">
        <x:is>
          <x:t>EU TE VEJO LÁ???</x:t>
        </x:is>
      </x:c>
      <x:c t="inlineStr" r="BK95">
        <x:is>
          <x:t>Rock In Rio</x:t>
        </x:is>
      </x:c>
      <x:c t="inlineStr" r="BL95"/>
      <x:c t="inlineStr" r="BM95"/>
      <x:c t="inlineStr" r="BN95"/>
      <x:c t="inlineStr" r="BO95"/>
      <x:c t="inlineStr" r="BP95"/>
      <x:c t="inlineStr" r="BQ95"/>
      <x:c t="inlineStr" r="BR95"/>
      <x:c t="inlineStr" r="BS95"/>
      <x:c t="inlineStr" r="BT95"/>
      <x:c t="inlineStr" r="BU95"/>
      <x:c t="inlineStr" r="BV95"/>
      <x:c t="inlineStr" r="BW95"/>
      <x:c t="inlineStr" r="BX95"/>
      <x:c t="inlineStr" r="BY95"/>
      <x:c t="inlineStr" r="BZ95"/>
      <x:c t="inlineStr" r="CA95"/>
      <x:c t="inlineStr" r="CB95"/>
      <x:c t="inlineStr" r="CC95"/>
      <x:c t="inlineStr" r="CD95"/>
      <x:c t="inlineStr" r="CE95">
        <x:is>
          <x:t>Rock In Rio</x:t>
        </x:is>
      </x:c>
      <x:c t="inlineStr" r="CF95"/>
    </x:row>
    <x:row r="96">
      <x:c t="n" r="A96">
        <x:v>886041774</x:v>
      </x:c>
      <x:c t="inlineStr" r="B96">
        <x:is>
          <x:t>25.08.2026</x:t>
        </x:is>
      </x:c>
      <x:c t="inlineStr" r="C96">
        <x:is>
          <x:t>22:33</x:t>
        </x:is>
      </x:c>
      <x:c t="inlineStr" r="D96">
        <x:is>
          <x:t>28.08.2026 15:57</x:t>
        </x:is>
      </x:c>
      <x:c t="inlineStr" r="E96">
        <x:is>
          <x:t/>
        </x:is>
      </x:c>
      <x:c t="str" r="F96">
        <x:v>#vigfem #rockinrio #vigilantepatrimonial #ipiranga 🎸
noite fria por aqui!</x:v>
      </x:c>
      <x:c t="inlineStr" r="G96">
        <x:is>
          <x:t/>
        </x:is>
      </x:c>
      <x:c t="inlineStr" r="H96"/>
      <x:c t="inlineStr" r="I96">
        <x:is>
          <x:t>Postar</x:t>
        </x:is>
      </x:c>
      <x:c t="inlineStr" r="J96">
        <x:is>
          <x:t>Imagem,Texto,Adesivos</x:t>
        </x:is>
      </x:c>
      <x:c t="inlineStr" r="K96">
        <x:is>
          <x:t>TikTokPhoto</x:t>
        </x:is>
      </x:c>
      <x:c r="L96">
        <x:f>HYPERLINK("https://www.tiktok.com/@janahermogenes/video/7678147388938276103")</x:f>
      </x:c>
      <x:c t="inlineStr" r="M96">
        <x:is>
          <x:t>Negativo</x:t>
        </x:is>
      </x:c>
      <x:c t="inlineStr" r="N96">
        <x:is>
          <x:t>Jana Hermogenes</x:t>
        </x:is>
      </x:c>
      <x:c t="inlineStr" r="O96">
        <x:is>
          <x:t>janahermogenes</x:t>
        </x:is>
      </x:c>
      <x:c r="P96">
        <x:f>HYPERLINK("https://www.tiktok.com/share/user/179541543475793920")</x:f>
      </x:c>
      <x:c t="n" r="Q96">
        <x:v>236</x:v>
      </x:c>
      <x:c t="inlineStr" r="R96">
        <x:is>
          <x:t>Mulher</x:t>
        </x:is>
      </x:c>
      <x:c t="inlineStr" r="S96"/>
      <x:c t="inlineStr" r="T96">
        <x:is>
          <x:t>tiktok.com</x:t>
        </x:is>
      </x:c>
      <x:c t="inlineStr" r="U96">
        <x:is>
          <x:t>Jana Hermogenes</x:t>
        </x:is>
      </x:c>
      <x:c r="V96">
        <x:f>HYPERLINK("https://www.tiktok.com/share/user/179541543475793920")</x:f>
      </x:c>
      <x:c t="n" r="W96">
        <x:v>236</x:v>
      </x:c>
      <x:c t="inlineStr" r="X96"/>
      <x:c t="inlineStr" r="Y96">
        <x:is>
          <x:t>Rede social</x:t>
        </x:is>
      </x:c>
      <x:c t="inlineStr" r="Z96">
        <x:is>
          <x:t>Português</x:t>
        </x:is>
      </x:c>
      <x:c t="inlineStr" r="AA96">
        <x:is>
          <x:t>Brasil</x:t>
        </x:is>
      </x:c>
      <x:c t="inlineStr" r="AB96">
        <x:is>
          <x:t>Rio de Janeiro</x:t>
        </x:is>
      </x:c>
      <x:c t="inlineStr" r="AC96">
        <x:is>
          <x:t>Rio de Janeiro</x:t>
        </x:is>
      </x:c>
      <x:c t="inlineStr" r="AD96"/>
      <x:c t="n" r="AE96">
        <x:v>0</x:v>
      </x:c>
      <x:c t="n" r="AF96">
        <x:v>0</x:v>
      </x:c>
      <x:c t="n" r="AG96">
        <x:v>0</x:v>
      </x:c>
      <x:c t="inlineStr" r="AH96"/>
      <x:c t="inlineStr" r="AI96"/>
      <x:c t="inlineStr" r="AJ96"/>
      <x:c t="inlineStr" r="AK96"/>
      <x:c t="inlineStr" r="AL96"/>
      <x:c t="inlineStr" r="AM96"/>
      <x:c t="inlineStr" r="AN96"/>
      <x:c t="n" r="AO96">
        <x:v>0</x:v>
      </x:c>
      <x:c t="n" r="AP96">
        <x:v>0</x:v>
      </x:c>
      <x:c t="n" r="AQ96">
        <x:v>112</x:v>
      </x:c>
      <x:c t="inlineStr" r="AR96"/>
      <x:c t="inlineStr" r="AS96"/>
      <x:c t="n" r="AT96">
        <x:v>0</x:v>
      </x:c>
      <x:c t="n" r="AU96">
        <x:v>236</x:v>
      </x:c>
      <x:c t="inlineStr" r="AV96"/>
      <x:c t="inlineStr" r="AW96">
        <x:is>
          <x:t/>
        </x:is>
      </x:c>
      <x:c t="inlineStr" r="AX96">
        <x:is>
          <x:t>wheel,vehicle,text,footwear</x:t>
        </x:is>
      </x:c>
      <x:c t="inlineStr" r="AY96">
        <x:is>
          <x:t/>
        </x:is>
      </x:c>
      <x:c t="inlineStr" r="AZ96">
        <x:is>
          <x:t/>
        </x:is>
      </x:c>
      <x:c t="inlineStr" r="BA96">
        <x:is>
          <x:t/>
        </x:is>
      </x:c>
      <x:c t="inlineStr" r="BB96">
        <x:is>
          <x:t>PHOTO</x:t>
        </x:is>
      </x:c>
      <x:c t="inlineStr" r="BC96"/>
      <x:c t="inlineStr" r="BD96">
        <x:is>
          <x:t>https://p19-common-sign.tiktokcdn-eu.com/tos-alisg-i-photomode-sg/f231ba03c488458fbca3608f6363b65a~tplv-photomode-image.jpeg?dr=10375&amp;x-expires=1788112800&amp;x-signature=OV7vQjGU4X90GwGq3eQnSBvRW78%3D&amp;t=4d5b0474&amp;ps=13740610&amp;shp=81f88b70&amp;shcp=9b759fb9&amp;idc=no1a&amp;ftpl=1</x:t>
        </x:is>
      </x:c>
      <x:c t="inlineStr" r="BE96">
        <x:is>
          <x:t/>
        </x:is>
      </x:c>
      <x:c t="inlineStr" r="BF96">
        <x:is>
          <x:t>Não</x:t>
        </x:is>
      </x:c>
      <x:c t="inlineStr" r="BG96"/>
      <x:c t="inlineStr" r="BH96">
        <x:is>
          <x:t/>
        </x:is>
      </x:c>
      <x:c t="inlineStr" r="BI96">
        <x:is>
          <x:t>WOM</x:t>
        </x:is>
      </x:c>
      <x:c t="inlineStr" r="BJ96"/>
      <x:c t="inlineStr" r="BK96">
        <x:is>
          <x:t>Ipiranga,Rock In Rio</x:t>
        </x:is>
      </x:c>
      <x:c t="inlineStr" r="BL96"/>
      <x:c t="inlineStr" r="BM96"/>
      <x:c t="inlineStr" r="BN96"/>
      <x:c t="inlineStr" r="BO96"/>
      <x:c t="inlineStr" r="BP96"/>
      <x:c t="inlineStr" r="BQ96"/>
      <x:c t="inlineStr" r="BR96"/>
      <x:c t="inlineStr" r="BS96"/>
      <x:c t="inlineStr" r="BT96"/>
      <x:c t="inlineStr" r="BU96"/>
      <x:c t="inlineStr" r="BV96"/>
      <x:c t="inlineStr" r="BW96"/>
      <x:c t="inlineStr" r="BX96"/>
      <x:c t="inlineStr" r="BY96"/>
      <x:c t="inlineStr" r="BZ96">
        <x:is>
          <x:t>Ipiranga</x:t>
        </x:is>
      </x:c>
      <x:c t="inlineStr" r="CA96"/>
      <x:c t="inlineStr" r="CB96"/>
      <x:c t="inlineStr" r="CC96"/>
      <x:c t="inlineStr" r="CD96"/>
      <x:c t="inlineStr" r="CE96">
        <x:is>
          <x:t>Rock In Rio</x:t>
        </x:is>
      </x:c>
      <x:c t="inlineStr" r="CF96"/>
    </x:row>
    <x:row r="97">
      <x:c t="n" r="A97">
        <x:v>1555868825</x:v>
      </x:c>
      <x:c t="inlineStr" r="B97">
        <x:is>
          <x:t>25.08.2026</x:t>
        </x:is>
      </x:c>
      <x:c t="inlineStr" r="C97">
        <x:is>
          <x:t>19:45</x:t>
        </x:is>
      </x:c>
      <x:c t="inlineStr" r="D97">
        <x:is>
          <x:t>26.08.2026 05:13</x:t>
        </x:is>
      </x:c>
      <x:c t="inlineStr" r="E97">
        <x:is>
          <x:t/>
        </x:is>
      </x:c>
      <x:c t="str" r="F97">
        <x:v>Rock in Rio reúne 90 marcas em sete dias de shows
Serão 14 empresas no festival programado para a Cidade do Rock, na zona sudoeste
da cidade, entre 4 e 13 de setembro. Na última edição do evento, em 2024, haviam sido 12 patrocinadores. A presença de 90 marcas no evento envolve ações de
marketing para apresentar produtos, estimular vendas e ficar mais perto dos consumidores. 
A lista de patrocinadores reúne Itaú, Heineken, Coca-Cola, Seara, iFood, Natura, TIM, Volkswagen, Superbet, C&amp;A, Doritos,  Ipiranga, KitKate  Prudential.  Ao associar a marca ao Rock in Rio, a empresa também pode fazer ativações que se tornem parte da experiência do festival, disse Tannia Bruno, diretora de marketing da Seara. 
Valor Econômico
#CotidianasDaDrix #RockInRio #Festival #marketing</x:v>
      </x:c>
      <x:c t="inlineStr" r="G97">
        <x:is>
          <x:t/>
        </x:is>
      </x:c>
      <x:c t="inlineStr" r="H97"/>
      <x:c t="inlineStr" r="I97">
        <x:is>
          <x:t>Postar</x:t>
        </x:is>
      </x:c>
      <x:c t="inlineStr" r="J97">
        <x:is>
          <x:t>Texto,Imagem</x:t>
        </x:is>
      </x:c>
      <x:c t="inlineStr" r="K97"/>
      <x:c r="L97">
        <x:f>HYPERLINK("https://www.instagram.com/p/DcevbiPGbCK/")</x:f>
      </x:c>
      <x:c t="inlineStr" r="M97">
        <x:is>
          <x:t>Negativo</x:t>
        </x:is>
      </x:c>
      <x:c t="inlineStr" r="N97">
        <x:is>
          <x:t>Cotidianas da Drix</x:t>
        </x:is>
      </x:c>
      <x:c t="inlineStr" r="O97">
        <x:is>
          <x:t>cotidianasdadrix</x:t>
        </x:is>
      </x:c>
      <x:c r="P97">
        <x:f>HYPERLINK("http://instagram.com/cotidianasdadrix")</x:f>
      </x:c>
      <x:c t="n" r="Q97">
        <x:v>155</x:v>
      </x:c>
      <x:c t="inlineStr" r="R97"/>
      <x:c t="inlineStr" r="S97"/>
      <x:c t="inlineStr" r="T97">
        <x:is>
          <x:t>instagram.com</x:t>
        </x:is>
      </x:c>
      <x:c t="inlineStr" r="U97">
        <x:is>
          <x:t>Cotidianas da Drix</x:t>
        </x:is>
      </x:c>
      <x:c r="V97">
        <x:f>HYPERLINK("http://instagram.com/cotidianasdadrix")</x:f>
      </x:c>
      <x:c t="n" r="W97">
        <x:v>155</x:v>
      </x:c>
      <x:c t="inlineStr" r="X97"/>
      <x:c t="inlineStr" r="Y97">
        <x:is>
          <x:t>Rede social</x:t>
        </x:is>
      </x:c>
      <x:c t="inlineStr" r="Z97">
        <x:is>
          <x:t>Português</x:t>
        </x:is>
      </x:c>
      <x:c t="inlineStr" r="AA97"/>
      <x:c t="inlineStr" r="AB97"/>
      <x:c t="inlineStr" r="AC97"/>
      <x:c t="inlineStr" r="AD97"/>
      <x:c t="n" r="AE97">
        <x:v>4</x:v>
      </x:c>
      <x:c t="n" r="AF97">
        <x:v>4</x:v>
      </x:c>
      <x:c t="n" r="AG97">
        <x:v>4</x:v>
      </x:c>
      <x:c t="inlineStr" r="AH97"/>
      <x:c t="inlineStr" r="AI97"/>
      <x:c t="inlineStr" r="AJ97"/>
      <x:c t="inlineStr" r="AK97"/>
      <x:c t="inlineStr" r="AL97"/>
      <x:c t="inlineStr" r="AM97"/>
      <x:c t="inlineStr" r="AN97"/>
      <x:c t="n" r="AO97">
        <x:v>0</x:v>
      </x:c>
      <x:c t="inlineStr" r="AP97"/>
      <x:c t="inlineStr" r="AQ97"/>
      <x:c t="inlineStr" r="AR97"/>
      <x:c t="inlineStr" r="AS97"/>
      <x:c t="inlineStr" r="AT97"/>
      <x:c t="n" r="AU97">
        <x:v>155</x:v>
      </x:c>
      <x:c t="inlineStr" r="AV97"/>
      <x:c t="inlineStr" r="AW97">
        <x:is>
          <x:t/>
        </x:is>
      </x:c>
      <x:c t="inlineStr" r="AX97">
        <x:is>
          <x:t>text,poster</x:t>
        </x:is>
      </x:c>
      <x:c t="inlineStr" r="AY97">
        <x:is>
          <x:t/>
        </x:is>
      </x:c>
      <x:c t="inlineStr" r="AZ97">
        <x:is>
          <x:t/>
        </x:is>
      </x:c>
      <x:c t="inlineStr" r="BA97">
        <x:is>
          <x:t/>
        </x:is>
      </x:c>
      <x:c t="inlineStr" r="BB97">
        <x:is>
          <x:t>ILLUSTRATION</x:t>
        </x:is>
      </x:c>
      <x:c t="inlineStr" r="BC97">
        <x:is>
          <x:t>advertising</x:t>
        </x:is>
      </x:c>
      <x:c t="inlineStr" r="BD97">
        <x:is>
          <x:t>https://scontent-ams2-1.cdninstagram.com/v/t39.30808-6/780580744_1669150251883032_3880244974738548807_n.webp?_nc_cat=101&amp;ig_cache_key=Mzk3MTgyMDUyMTc1OTgxMzc3MA%3D%3D.3-ccb7-5&amp;ccb=7-5&amp;_nc_sid=58cdad&amp;efg=eyJ2ZW5jb2RlX3RhZyI6IkZFRUQueHBpZHMuNjQwLnNkci5yZWd1bGFyX3Bob3RvLkMzIn0%3D&amp;_nc_ohc=HTcV4iQMWD8Q7kNvwElzuPo&amp;_nc_oc=Adrpcmt1jgX755SeG7fcJVAe5vKHosworBGNQf49pzcgF4S6Z7xu7XCCxFAjAWJE_ekD5jhdnUdzcMVcKhpySrM_&amp;_nc_zt=23&amp;_nc_ht=scontent-ams2-1.cdninstagram.com&amp;_nc_gid=bIG16T49Xd2pqvc5lI0Kew&amp;_nc_ss=70689&amp;oh=00_AQEB0gZ1qpUp35ZB5G-iqY48822XwHDxLcsa_Iq1gbuwOw&amp;oe=6A942DD6</x:t>
        </x:is>
      </x:c>
      <x:c t="inlineStr" r="BE97">
        <x:is>
          <x:t/>
        </x:is>
      </x:c>
      <x:c t="inlineStr" r="BF97">
        <x:is>
          <x:t>Não</x:t>
        </x:is>
      </x:c>
      <x:c t="inlineStr" r="BG97"/>
      <x:c t="inlineStr" r="BH97">
        <x:is>
          <x:t/>
        </x:is>
      </x:c>
      <x:c t="inlineStr" r="BI97">
        <x:is>
          <x:t>Artigo</x:t>
        </x:is>
      </x:c>
      <x:c t="inlineStr" r="BJ97"/>
      <x:c t="inlineStr" r="BK97">
        <x:is>
          <x:t>Ipiranga,Rock In Rio</x:t>
        </x:is>
      </x:c>
      <x:c t="inlineStr" r="BL97"/>
      <x:c t="inlineStr" r="BM97"/>
      <x:c t="inlineStr" r="BN97"/>
      <x:c t="inlineStr" r="BO97"/>
      <x:c t="inlineStr" r="BP97"/>
      <x:c t="inlineStr" r="BQ97"/>
      <x:c t="inlineStr" r="BR97"/>
      <x:c t="inlineStr" r="BS97"/>
      <x:c t="inlineStr" r="BT97"/>
      <x:c t="inlineStr" r="BU97"/>
      <x:c t="inlineStr" r="BV97"/>
      <x:c t="inlineStr" r="BW97"/>
      <x:c t="inlineStr" r="BX97"/>
      <x:c t="inlineStr" r="BY97"/>
      <x:c t="inlineStr" r="BZ97">
        <x:is>
          <x:t>Ipiranga</x:t>
        </x:is>
      </x:c>
      <x:c t="inlineStr" r="CA97"/>
      <x:c t="inlineStr" r="CB97"/>
      <x:c t="inlineStr" r="CC97"/>
      <x:c t="inlineStr" r="CD97"/>
      <x:c t="inlineStr" r="CE97">
        <x:is>
          <x:t>Rock In Rio</x:t>
        </x:is>
      </x:c>
      <x:c t="inlineStr" r="CF97"/>
    </x:row>
    <x:row r="98">
      <x:c t="n" r="A98">
        <x:v>3591032837</x:v>
      </x:c>
      <x:c t="inlineStr" r="B98">
        <x:is>
          <x:t>25.08.2026</x:t>
        </x:is>
      </x:c>
      <x:c t="inlineStr" r="C98">
        <x:is>
          <x:t>15:44</x:t>
        </x:is>
      </x:c>
      <x:c t="inlineStr" r="D98">
        <x:is>
          <x:t>25.08.2026 16:09</x:t>
        </x:is>
      </x:c>
      <x:c t="inlineStr" r="E98">
        <x:is>
          <x:t/>
        </x:is>
      </x:c>
      <x:c t="str" r="F98">
        <x:v>não to crendo que ganhei 1 ingresso pro rock in rio por conta que abasteço no ipiranga
eu nunca ganho nada eu to extasiada</x:v>
      </x:c>
      <x:c t="inlineStr" r="G98">
        <x:is>
          <x:t/>
        </x:is>
      </x:c>
      <x:c t="inlineStr" r="H98"/>
      <x:c t="inlineStr" r="I98">
        <x:is>
          <x:t>Postar</x:t>
        </x:is>
      </x:c>
      <x:c t="inlineStr" r="J98">
        <x:is>
          <x:t>Texto</x:t>
        </x:is>
      </x:c>
      <x:c t="inlineStr" r="K98"/>
      <x:c r="L98">
        <x:f>HYPERLINK("https://x.com/iwillnotlikeu/status/2092322349475307999")</x:f>
      </x:c>
      <x:c t="inlineStr" r="M98">
        <x:is>
          <x:t>Negativo</x:t>
        </x:is>
      </x:c>
      <x:c t="inlineStr" r="N98">
        <x:is>
          <x:t>tainah</x:t>
        </x:is>
      </x:c>
      <x:c t="inlineStr" r="O98">
        <x:is>
          <x:t>iwillnotlikeu</x:t>
        </x:is>
      </x:c>
      <x:c r="P98">
        <x:f>HYPERLINK("http://x.com/iwillnotlikeu")</x:f>
      </x:c>
      <x:c t="n" r="Q98">
        <x:v>1317</x:v>
      </x:c>
      <x:c t="inlineStr" r="R98">
        <x:is>
          <x:t>Mulher</x:t>
        </x:is>
      </x:c>
      <x:c t="inlineStr" r="S98"/>
      <x:c t="inlineStr" r="T98">
        <x:is>
          <x:t>x.com</x:t>
        </x:is>
      </x:c>
      <x:c t="inlineStr" r="U98"/>
      <x:c t="inlineStr" r="V98"/>
      <x:c t="inlineStr" r="W98"/>
      <x:c t="inlineStr" r="X98"/>
      <x:c t="inlineStr" r="Y98">
        <x:is>
          <x:t>Rede social</x:t>
        </x:is>
      </x:c>
      <x:c t="inlineStr" r="Z98">
        <x:is>
          <x:t>Português</x:t>
        </x:is>
      </x:c>
      <x:c t="inlineStr" r="AA98">
        <x:is>
          <x:t>Brasil</x:t>
        </x:is>
      </x:c>
      <x:c t="inlineStr" r="AB98"/>
      <x:c t="inlineStr" r="AC98"/>
      <x:c t="inlineStr" r="AD98"/>
      <x:c t="n" r="AE98">
        <x:v>0</x:v>
      </x:c>
      <x:c t="n" r="AF98">
        <x:v>0</x:v>
      </x:c>
      <x:c t="n" r="AG98">
        <x:v>0</x:v>
      </x:c>
      <x:c t="inlineStr" r="AH98"/>
      <x:c t="inlineStr" r="AI98"/>
      <x:c t="inlineStr" r="AJ98"/>
      <x:c t="inlineStr" r="AK98"/>
      <x:c t="inlineStr" r="AL98"/>
      <x:c t="inlineStr" r="AM98"/>
      <x:c t="inlineStr" r="AN98"/>
      <x:c t="n" r="AO98">
        <x:v>0</x:v>
      </x:c>
      <x:c t="n" r="AP98">
        <x:v>0</x:v>
      </x:c>
      <x:c t="n" r="AQ98">
        <x:v>45</x:v>
      </x:c>
      <x:c t="inlineStr" r="AR98"/>
      <x:c t="inlineStr" r="AS98"/>
      <x:c t="inlineStr" r="AT98"/>
      <x:c t="n" r="AU98">
        <x:v>1317</x:v>
      </x:c>
      <x:c t="inlineStr" r="AV98"/>
      <x:c t="inlineStr" r="AW98"/>
      <x:c t="inlineStr" r="AX98"/>
      <x:c t="inlineStr" r="AY98"/>
      <x:c t="inlineStr" r="AZ98"/>
      <x:c t="inlineStr" r="BA98"/>
      <x:c t="inlineStr" r="BB98"/>
      <x:c t="inlineStr" r="BC98"/>
      <x:c t="inlineStr" r="BD98"/>
      <x:c t="inlineStr" r="BE98">
        <x:is>
          <x:t/>
        </x:is>
      </x:c>
      <x:c t="inlineStr" r="BF98">
        <x:is>
          <x:t>Não</x:t>
        </x:is>
      </x:c>
      <x:c t="inlineStr" r="BG98"/>
      <x:c t="inlineStr" r="BH98">
        <x:is>
          <x:t/>
        </x:is>
      </x:c>
      <x:c t="inlineStr" r="BI98">
        <x:is>
          <x:t>WOM</x:t>
        </x:is>
      </x:c>
      <x:c t="inlineStr" r="BJ98"/>
      <x:c t="inlineStr" r="BK98">
        <x:is>
          <x:t>Ipiranga,Rock In Rio</x:t>
        </x:is>
      </x:c>
      <x:c t="inlineStr" r="BL98"/>
      <x:c t="inlineStr" r="BM98"/>
      <x:c t="inlineStr" r="BN98"/>
      <x:c t="inlineStr" r="BO98"/>
      <x:c t="inlineStr" r="BP98"/>
      <x:c t="inlineStr" r="BQ98"/>
      <x:c t="inlineStr" r="BR98"/>
      <x:c t="inlineStr" r="BS98"/>
      <x:c t="inlineStr" r="BT98"/>
      <x:c t="inlineStr" r="BU98"/>
      <x:c t="inlineStr" r="BV98"/>
      <x:c t="inlineStr" r="BW98"/>
      <x:c t="inlineStr" r="BX98"/>
      <x:c t="inlineStr" r="BY98"/>
      <x:c t="inlineStr" r="BZ98">
        <x:is>
          <x:t>Ipiranga</x:t>
        </x:is>
      </x:c>
      <x:c t="inlineStr" r="CA98"/>
      <x:c t="inlineStr" r="CB98"/>
      <x:c t="inlineStr" r="CC98"/>
      <x:c t="inlineStr" r="CD98"/>
      <x:c t="inlineStr" r="CE98">
        <x:is>
          <x:t>Rock In Rio</x:t>
        </x:is>
      </x:c>
      <x:c t="inlineStr" r="CF98"/>
    </x:row>
    <x:row r="99">
      <x:c t="n" r="A99">
        <x:v>268566483</x:v>
      </x:c>
      <x:c t="inlineStr" r="B99">
        <x:is>
          <x:t>25.08.2026</x:t>
        </x:is>
      </x:c>
      <x:c t="inlineStr" r="C99">
        <x:is>
          <x:t>15:37</x:t>
        </x:is>
      </x:c>
      <x:c t="inlineStr" r="D99">
        <x:is>
          <x:t>25.08.2026 16:30</x:t>
        </x:is>
      </x:c>
      <x:c t="inlineStr" r="E99">
        <x:is>
          <x:t/>
        </x:is>
      </x:c>
      <x:c t="inlineStr" r="F99">
        <x:is>
          <x:t>BRINDES DO ROCK IN RIO 2026 DLH Mini câmera exclusiva PHILCO  Caixa de som e bolsa  KITKAT Chaveiro e cordinha de celular  ITAÚ  copos + capinha para óculos. DROGARIA VENANCIO Desafio musical. Quem ganhar escolhe 1 dos 6 mascotes colecionáveis. IPIRANGA Pochete + leque. SCHWEPPES Bucket hat + shoulder bag + porta-copo. VALE Nécessaire. IFOOD Coração de LED + mini câmera. NATURA Pochete laranja + ativação com protetor solar. MOVIDA Pulseira de LED + fone de ouvido + carregador com 3 conectores + bolsa com LED + leque personalizado. AXA Corta-vento + mini câmera + ring light. C&amp;A Customização de jaqueta + leque + shoulder bag + pin + patches + mini câmera. TRIDENT Shoulder bag + leque. COCA-COLA Chaveiro com mini CD e tecnologia NFC. Playlist exclusiva da Billboard. GOOGLE GEMINI Mini CD. PRUDENTIAL Carteira de mão. PREVENT Porta-copo térmico + ventilador portátil + toalha de rosto. VALE Nécessaire. VOLKSWAGEN Abraçador de copo de pelúcia + porta-moedas. TRÊS CORAÇÕES Copo de refil de café + Tamagotchi personalizado. E tem novidade: café gelado na Cidade do Rock. CIF óculos  LATAM necesserie  SEARA leque + cordinha de celular  Qual brinde você mais quer pegar no Rock in Rio? Salva esse post para consultar durante o festival e manda para quem vai com você. #BrindesRockInRio #BrindesDeFestival #Brindes #RockinRio</x:t>
        </x:is>
      </x:c>
      <x:c t="str" r="G99">
        <x:v>lista com todos os brindes do rock rio
a Fiuk vai dar essa caixa de som aqui
mais pin e também uma bolsa
a d h l vai dar uma mini câmera de brinde
Coca Cola vai dar esse chaveiro
com mini CD com tecnologia n f c
e o melhor
essa playlist vai ser toda feita pela Billboard
há Três Corações
além do copo também vai ter tamagoste esse ano
EU spinz e claro aquela cordinha
pra você amarrar seu celular
Tic Tac vai Dar corta vento
viseira
e bucket Ipiranga vai dar pochete e também leque
o Itaú vai dar corpos
e também vai ter a capinha de óculos esse ano
drogaria Venâncio que vai ser a farmácia
do festival esse ano
vai ter um desafio musical e quem ganhar
escolhe um dos seis mascotes
colecionáveis
a Natura vai dar essa pochete
laranja aqui que eu achei muito linda
e também vai ter uma ativação pra você ganhar
protetor solar
a vale vai dar necessaire
o iFood
vai dar aquele mini coração que todo ano eles já dão
e esse ano vai ter também
uma mini câmera
gente todo mundo tá dando mini câmera aqui tô adorando
a movida
vai dar fone de ouvido também vai dar carregador
com três conectores
e também uma bolsa com LED
a Seara vai dar leque e também cordinha de celular
Platão vai dar nesse excesso
a cife vai dar óculos e pin KitKat
vai dar chaveiro e cordinha de celular
corta vento mini câmera e ring light
a Seara vai ter customização
de jaqueta também vai ter leque
vai ter uma bag vai ter pin
e também vai ter
aquela mini câmera gente terminar e vai dar um mini CD
o Prudente ou vai dar uma carteira de mão
private vai dar porta copo térmico
ventilador portátil
e uma toalha de rosto Schwepps vai dar bucket
também vai dar uma shogberry e também um porta copo
a Volkswagen vai dar um copo de pelúcia
e também um porta moeda
e qual desses brindes
você mais quer pegar no Rock in Rio
agora você vai salvar esse post pra me consultar
durante
o festival
e vai mandar esse vídeo pra quem vai com você no Rock in Rio
me siga pra mais dicas de rock in Rio
e claro show e festival</x:v>
      </x:c>
      <x:c t="inlineStr" r="H99">
        <x:is>
          <x:t>Português</x:t>
        </x:is>
      </x:c>
      <x:c t="inlineStr" r="I99">
        <x:is>
          <x:t>Postar</x:t>
        </x:is>
      </x:c>
      <x:c t="inlineStr" r="J99">
        <x:is>
          <x:t>Vídeo,Texto,Legendas</x:t>
        </x:is>
      </x:c>
      <x:c t="inlineStr" r="K99"/>
      <x:c r="L99">
        <x:f>HYPERLINK("https://www.tiktok.com/@euduplay/video/7678040344944069908")</x:f>
      </x:c>
      <x:c t="inlineStr" r="M99">
        <x:is>
          <x:t>Negativo</x:t>
        </x:is>
      </x:c>
      <x:c t="inlineStr" r="N99">
        <x:is>
          <x:t>Euduplay</x:t>
        </x:is>
      </x:c>
      <x:c t="inlineStr" r="O99">
        <x:is>
          <x:t>euduplay</x:t>
        </x:is>
      </x:c>
      <x:c r="P99">
        <x:f>HYPERLINK("https://www.tiktok.com/share/user/6737963850564191238")</x:f>
      </x:c>
      <x:c t="n" r="Q99">
        <x:v>224000</x:v>
      </x:c>
      <x:c t="inlineStr" r="R99"/>
      <x:c t="inlineStr" r="S99"/>
      <x:c t="inlineStr" r="T99">
        <x:is>
          <x:t>tiktok.com</x:t>
        </x:is>
      </x:c>
      <x:c t="inlineStr" r="U99">
        <x:is>
          <x:t>Euduplay</x:t>
        </x:is>
      </x:c>
      <x:c r="V99">
        <x:f>HYPERLINK("https://www.tiktok.com/share/user/6737963850564191238")</x:f>
      </x:c>
      <x:c t="n" r="W99">
        <x:v>224000</x:v>
      </x:c>
      <x:c t="inlineStr" r="X99"/>
      <x:c t="inlineStr" r="Y99">
        <x:is>
          <x:t>Rede social</x:t>
        </x:is>
      </x:c>
      <x:c t="inlineStr" r="Z99">
        <x:is>
          <x:t>Português</x:t>
        </x:is>
      </x:c>
      <x:c t="inlineStr" r="AA99">
        <x:is>
          <x:t>Brasil</x:t>
        </x:is>
      </x:c>
      <x:c t="inlineStr" r="AB99"/>
      <x:c t="inlineStr" r="AC99"/>
      <x:c t="inlineStr" r="AD99"/>
      <x:c t="n" r="AE99">
        <x:v>1590</x:v>
      </x:c>
      <x:c t="n" r="AF99">
        <x:v>2365</x:v>
      </x:c>
      <x:c t="n" r="AG99">
        <x:v>1590</x:v>
      </x:c>
      <x:c t="inlineStr" r="AH99"/>
      <x:c t="inlineStr" r="AI99"/>
      <x:c t="inlineStr" r="AJ99"/>
      <x:c t="inlineStr" r="AK99"/>
      <x:c t="inlineStr" r="AL99"/>
      <x:c t="inlineStr" r="AM99"/>
      <x:c t="inlineStr" r="AN99"/>
      <x:c t="n" r="AO99">
        <x:v>26</x:v>
      </x:c>
      <x:c t="n" r="AP99">
        <x:v>749</x:v>
      </x:c>
      <x:c t="n" r="AQ99">
        <x:v>19700</x:v>
      </x:c>
      <x:c t="inlineStr" r="AR99"/>
      <x:c t="inlineStr" r="AS99"/>
      <x:c t="n" r="AT99">
        <x:v>663</x:v>
      </x:c>
      <x:c t="n" r="AU99">
        <x:v>224000</x:v>
      </x:c>
      <x:c t="inlineStr" r="AV99"/>
      <x:c t="inlineStr" r="AW99">
        <x:is>
          <x:t>CocaCola,Trident</x:t>
        </x:is>
      </x:c>
      <x:c t="inlineStr" r="AX99">
        <x:is>
          <x:t>clothing,plant,facial hair,shirt</x:t>
        </x:is>
      </x:c>
      <x:c t="inlineStr" r="AY99">
        <x:is>
          <x:t/>
        </x:is>
      </x:c>
      <x:c t="inlineStr" r="AZ99">
        <x:is>
          <x:t>man</x:t>
        </x:is>
      </x:c>
      <x:c t="inlineStr" r="BA99">
        <x:is>
          <x:t/>
        </x:is>
      </x:c>
      <x:c t="inlineStr" r="BB99">
        <x:is>
          <x:t>PHOTO</x:t>
        </x:is>
      </x:c>
      <x:c t="inlineStr" r="BC99"/>
      <x:c t="inlineStr" r="BD99">
        <x:is>
          <x:t>https://p16-common-sign.tiktokcdn-eu.com/tos-alisg-p-0037/ogvAcihIBAANiqBHJZEQCaY4OzAoEZAnABr3C~tplv-tiktokx-origin.image?dr=10395&amp;x-expires=1787857200&amp;x-signature=bCft%2FVcb9tVGksjW4nrBEL%2BpxIQ%3D&amp;t=4d5b0474&amp;ps=13740610&amp;shp=81f88b70&amp;shcp=43f4a2f9&amp;idc=no1a</x:t>
        </x:is>
      </x:c>
      <x:c t="inlineStr" r="BE99">
        <x:is>
          <x:t/>
        </x:is>
      </x:c>
      <x:c t="inlineStr" r="BF99">
        <x:is>
          <x:t>Não</x:t>
        </x:is>
      </x:c>
      <x:c t="inlineStr" r="BG99"/>
      <x:c t="inlineStr" r="BH99">
        <x:is>
          <x:t/>
        </x:is>
      </x:c>
      <x:c t="inlineStr" r="BI99">
        <x:is>
          <x:t>Giveaway</x:t>
        </x:is>
      </x:c>
      <x:c t="inlineStr" r="BJ99"/>
      <x:c t="inlineStr" r="BK99">
        <x:is>
          <x:t>Ipiranga,Rock In Rio</x:t>
        </x:is>
      </x:c>
      <x:c t="inlineStr" r="BL99"/>
      <x:c t="inlineStr" r="BM99"/>
      <x:c t="inlineStr" r="BN99"/>
      <x:c t="inlineStr" r="BO99"/>
      <x:c t="inlineStr" r="BP99"/>
      <x:c t="inlineStr" r="BQ99"/>
      <x:c t="inlineStr" r="BR99"/>
      <x:c t="inlineStr" r="BS99"/>
      <x:c t="inlineStr" r="BT99"/>
      <x:c t="inlineStr" r="BU99"/>
      <x:c t="inlineStr" r="BV99"/>
      <x:c t="inlineStr" r="BW99"/>
      <x:c t="inlineStr" r="BX99"/>
      <x:c t="inlineStr" r="BY99"/>
      <x:c t="inlineStr" r="BZ99">
        <x:is>
          <x:t>Ipiranga</x:t>
        </x:is>
      </x:c>
      <x:c t="inlineStr" r="CA99"/>
      <x:c t="inlineStr" r="CB99"/>
      <x:c t="inlineStr" r="CC99"/>
      <x:c t="inlineStr" r="CD99"/>
      <x:c t="inlineStr" r="CE99">
        <x:is>
          <x:t>Rock In Rio</x:t>
        </x:is>
      </x:c>
      <x:c t="inlineStr" r="CF99"/>
    </x:row>
    <x:row r="100">
      <x:c t="n" r="A100">
        <x:v>3285742533</x:v>
      </x:c>
      <x:c t="inlineStr" r="B100">
        <x:is>
          <x:t>25.08.2026</x:t>
        </x:is>
      </x:c>
      <x:c t="inlineStr" r="C100">
        <x:is>
          <x:t>14:58</x:t>
        </x:is>
      </x:c>
      <x:c t="inlineStr" r="D100">
        <x:is>
          <x:t>26.08.2026 23:17</x:t>
        </x:is>
      </x:c>
      <x:c t="inlineStr" r="E100">
        <x:is>
          <x:t/>
        </x:is>
      </x:c>
      <x:c t="str" r="F100">
        <x:v>Quer saber como conseguir ingressos para o Rock in Rio 2026? Lá no posto Ipiranga! 🎸⛽​
Baixe o app KMV, abasteça na Rede de Postos 3 Irmãos, resgate seu ingresso de gramado para o Rock in Rio Brasil 2026 usando pontos + dinheiro e garanta sua próxima parada ainda mais completa!​
#Ipiranga #KMV #RockInRioBrasil2026 #ParadaCompleta #redepostos3irmãos</x:v>
      </x:c>
      <x:c t="inlineStr" r="G100">
        <x:is>
          <x:t/>
        </x:is>
      </x:c>
      <x:c t="inlineStr" r="H100"/>
      <x:c t="inlineStr" r="I100">
        <x:is>
          <x:t>Postar</x:t>
        </x:is>
      </x:c>
      <x:c t="inlineStr" r="J100">
        <x:is>
          <x:t>Texto,Vídeo</x:t>
        </x:is>
      </x:c>
      <x:c t="inlineStr" r="K100"/>
      <x:c r="L100">
        <x:f>HYPERLINK("https://www.instagram.com/p/DceOhqQvz1k/")</x:f>
      </x:c>
      <x:c t="inlineStr" r="M100">
        <x:is>
          <x:t>Negativo</x:t>
        </x:is>
      </x:c>
      <x:c t="inlineStr" r="N100">
        <x:is>
          <x:t>Rede Postos 3 Irmãos</x:t>
        </x:is>
      </x:c>
      <x:c t="inlineStr" r="O100">
        <x:is>
          <x:t>redepostos3irmaos</x:t>
        </x:is>
      </x:c>
      <x:c r="P100">
        <x:f>HYPERLINK("http://instagram.com/redepostos3irmaos")</x:f>
      </x:c>
      <x:c t="n" r="Q100">
        <x:v>294</x:v>
      </x:c>
      <x:c t="inlineStr" r="R100"/>
      <x:c t="inlineStr" r="S100"/>
      <x:c t="inlineStr" r="T100">
        <x:is>
          <x:t>instagram.com</x:t>
        </x:is>
      </x:c>
      <x:c t="inlineStr" r="U100">
        <x:is>
          <x:t>Rede Postos 3 Irmãos</x:t>
        </x:is>
      </x:c>
      <x:c r="V100">
        <x:f>HYPERLINK("http://instagram.com/redepostos3irmaos")</x:f>
      </x:c>
      <x:c t="n" r="W100">
        <x:v>294</x:v>
      </x:c>
      <x:c t="inlineStr" r="X100"/>
      <x:c t="inlineStr" r="Y100">
        <x:is>
          <x:t>Rede social</x:t>
        </x:is>
      </x:c>
      <x:c t="inlineStr" r="Z100">
        <x:is>
          <x:t>Português</x:t>
        </x:is>
      </x:c>
      <x:c t="inlineStr" r="AA100"/>
      <x:c t="inlineStr" r="AB100"/>
      <x:c t="inlineStr" r="AC100"/>
      <x:c t="inlineStr" r="AD100"/>
      <x:c t="n" r="AE100">
        <x:v>2</x:v>
      </x:c>
      <x:c t="n" r="AF100">
        <x:v>2</x:v>
      </x:c>
      <x:c t="n" r="AG100">
        <x:v>2</x:v>
      </x:c>
      <x:c t="inlineStr" r="AH100"/>
      <x:c t="inlineStr" r="AI100"/>
      <x:c t="inlineStr" r="AJ100"/>
      <x:c t="inlineStr" r="AK100"/>
      <x:c t="inlineStr" r="AL100"/>
      <x:c t="inlineStr" r="AM100"/>
      <x:c t="inlineStr" r="AN100"/>
      <x:c t="n" r="AO100">
        <x:v>0</x:v>
      </x:c>
      <x:c t="inlineStr" r="AP100"/>
      <x:c t="inlineStr" r="AQ100"/>
      <x:c t="inlineStr" r="AR100"/>
      <x:c t="inlineStr" r="AS100"/>
      <x:c t="inlineStr" r="AT100"/>
      <x:c t="n" r="AU100">
        <x:v>294</x:v>
      </x:c>
      <x:c t="inlineStr" r="AV100"/>
      <x:c t="inlineStr" r="AW100">
        <x:is>
          <x:t/>
        </x:is>
      </x:c>
      <x:c t="inlineStr" r="AX100">
        <x:is>
          <x:t/>
        </x:is>
      </x:c>
      <x:c t="inlineStr" r="AY100">
        <x:is>
          <x:t/>
        </x:is>
      </x:c>
      <x:c t="inlineStr" r="AZ100">
        <x:is>
          <x:t/>
        </x:is>
      </x:c>
      <x:c t="inlineStr" r="BA100">
        <x:is>
          <x:t/>
        </x:is>
      </x:c>
      <x:c t="inlineStr" r="BB100">
        <x:is>
          <x:t>ILLUSTRATION</x:t>
        </x:is>
      </x:c>
      <x:c t="inlineStr" r="BC100"/>
      <x:c t="inlineStr" r="BD100">
        <x:is>
          <x:t>https://scontent.cdninstagram.com/v/t51.71878-15/785677967_1652783319599401_1366146110779183377_n.jpg?stp=dst-jpg_e15_tt6&amp;_nc_cat=103&amp;ig_cache_key=Mzk3MTY3NTgwNzE1OTM2OTA2MA%3D%3D.3-ccb7-5&amp;ccb=7-5&amp;_nc_sid=58cdad&amp;efg=eyJ2ZW5jb2RlX3RhZyI6IkNMSVBTLnhwaWRzLjY0MC5zZHIudmlkZW9fZGVmYXVsdF9jb3Zlcl9mcmFtZS5DMyJ9&amp;_nc_ohc=WYfNH0h_SH4Q7kNvwGFwVzC&amp;_nc_oc=AdoUah21MhD55vlbRGizdjttPB_b5fmNB4jYXhIdRSMZMzXwhasb0yVTUCa0Ulbz5YI&amp;_nc_zt=23&amp;_nc_ht=scontent.cdninstagram.com&amp;_nc_gid=Ey7NFgf5o3lgXfk3niGkrw&amp;_nc_ss=70689&amp;oh=00_AQEPaXo-WiOOhzLY78nZApbjJXA00tUJqO2BlNnfbyG5RA&amp;oe=6A957696</x:t>
        </x:is>
      </x:c>
      <x:c t="inlineStr" r="BE100">
        <x:is>
          <x:t/>
        </x:is>
      </x:c>
      <x:c t="inlineStr" r="BF100">
        <x:is>
          <x:t>Não</x:t>
        </x:is>
      </x:c>
      <x:c t="inlineStr" r="BG100"/>
      <x:c t="inlineStr" r="BH100">
        <x:is>
          <x:t/>
        </x:is>
      </x:c>
      <x:c t="inlineStr" r="BI100">
        <x:is>
          <x:t>Promoção</x:t>
        </x:is>
      </x:c>
      <x:c t="inlineStr" r="BJ100"/>
      <x:c t="inlineStr" r="BK100">
        <x:is>
          <x:t>Campanha: Parada Completa,Ipiranga,App KMV,Rock In Rio</x:t>
        </x:is>
      </x:c>
      <x:c t="inlineStr" r="BL100"/>
      <x:c t="inlineStr" r="BM100"/>
      <x:c t="inlineStr" r="BN100"/>
      <x:c t="inlineStr" r="BO100"/>
      <x:c t="inlineStr" r="BP100"/>
      <x:c t="inlineStr" r="BQ100"/>
      <x:c t="inlineStr" r="BR100"/>
      <x:c t="inlineStr" r="BS100"/>
      <x:c t="inlineStr" r="BT100"/>
      <x:c t="inlineStr" r="BU100"/>
      <x:c t="inlineStr" r="BV100"/>
      <x:c t="inlineStr" r="BW100"/>
      <x:c t="inlineStr" r="BX100"/>
      <x:c t="inlineStr" r="BY100">
        <x:is>
          <x:t>Campanha: Parada Completa</x:t>
        </x:is>
      </x:c>
      <x:c t="inlineStr" r="BZ100">
        <x:is>
          <x:t>Ipiranga</x:t>
        </x:is>
      </x:c>
      <x:c t="inlineStr" r="CA100"/>
      <x:c t="inlineStr" r="CB100"/>
      <x:c t="inlineStr" r="CC100"/>
      <x:c t="inlineStr" r="CD100">
        <x:is>
          <x:t>App KMV</x:t>
        </x:is>
      </x:c>
      <x:c t="inlineStr" r="CE100">
        <x:is>
          <x:t>Rock In Rio</x:t>
        </x:is>
      </x:c>
      <x:c t="inlineStr" r="CF100"/>
    </x:row>
    <x:row r="101">
      <x:c t="n" r="A101">
        <x:v>1909315916</x:v>
      </x:c>
      <x:c t="inlineStr" r="B101">
        <x:is>
          <x:t>25.08.2026</x:t>
        </x:is>
      </x:c>
      <x:c t="inlineStr" r="C101">
        <x:is>
          <x:t>13:20</x:t>
        </x:is>
      </x:c>
      <x:c t="inlineStr" r="D101">
        <x:is>
          <x:t>25.08.2026 16:03</x:t>
        </x:is>
      </x:c>
      <x:c t="inlineStr" r="E101">
        <x:is>
          <x:t/>
        </x:is>
      </x:c>
      <x:c t="str" r="F101">
        <x:v>BRINDES DO ROCK IN RIO 2026
DLH
Mini câmera exclusiva
PHILCO 
Caixa de som e bolsa 
KITKAT
Chaveiro e cordinha de celular 
ITAÚ
 copos + capinha para óculos.
DROGARIA VENANCIO
Desafio musical. Quem ganhar escolhe 1 dos 6 mascotes colecionáveis.
IPIRANGA
Pochete + leque.
SCHWEPPES
Bucket hat + shoulder bag + porta-copo.
VALE
Nécessaire.
IFOOD
Coração de LED + mini câmera.
NATURA
Pochete laranja + ativação com protetor solar.
MOVIDA
Pulseira de LED + fone de ouvido + carregador com 3 conectores + bolsa com LED + leque personalizado.
AXA
Corta-vento + mini câmera + ring light.
C&amp;A
Customização de jaqueta + leque + shoulder bag + pin + patches + mini câmera.
TRIDENT
Shoulder bag + leque.
COCA-COLA
Chaveiro com mini CD e tecnologia NFC.
Playlist exclusiva da Billboard.
GOOGLE GEMINI
Mini CD.
PRUDENTIAL
Carteira de mão.
PREVENT
Porta-copo térmico + ventilador portátil + toalha de rosto.
VALE
Nécessaire.
VOLKSWAGEN
Abraçador de copo de pelúcia + porta-moedas.
TRÊS CORAÇÕES
Copo de refil de café + Tamagotchi personalizado.
E tem novidade: café gelado na Cidade do Rock.
CIF óculos 
LATAM necesserie 
SEARA leque + cordinha de celular 
Qual brinde você mais quer pegar no Rock in Rio?
Salva esse post para consultar durante o festival e manda para quem vai com você.
#BrindesRockInRio #BrindesDeFestival #Brindes #RockinRio</x:v>
      </x:c>
      <x:c t="inlineStr" r="G101">
        <x:is>
          <x:t/>
        </x:is>
      </x:c>
      <x:c t="inlineStr" r="H101"/>
      <x:c t="inlineStr" r="I101">
        <x:is>
          <x:t>Postar</x:t>
        </x:is>
      </x:c>
      <x:c t="inlineStr" r="J101">
        <x:is>
          <x:t>Texto,Vídeo</x:t>
        </x:is>
      </x:c>
      <x:c t="inlineStr" r="K101">
        <x:is>
          <x:t>InstagramReels</x:t>
        </x:is>
      </x:c>
      <x:c r="L101">
        <x:f>HYPERLINK("https://www.instagram.com/p/DceBoCFAcDK/")</x:f>
      </x:c>
      <x:c t="inlineStr" r="M101">
        <x:is>
          <x:t>Negativo</x:t>
        </x:is>
      </x:c>
      <x:c t="inlineStr" r="N101">
        <x:is>
          <x:t>Eduardo Campos</x:t>
        </x:is>
      </x:c>
      <x:c t="inlineStr" r="O101">
        <x:is>
          <x:t>euduplay</x:t>
        </x:is>
      </x:c>
      <x:c r="P101">
        <x:f>HYPERLINK("http://instagram.com/euduplay")</x:f>
      </x:c>
      <x:c t="n" r="Q101">
        <x:v>36244</x:v>
      </x:c>
      <x:c t="inlineStr" r="R101">
        <x:is>
          <x:t>Homem</x:t>
        </x:is>
      </x:c>
      <x:c t="inlineStr" r="S101"/>
      <x:c t="inlineStr" r="T101">
        <x:is>
          <x:t>instagram.com</x:t>
        </x:is>
      </x:c>
      <x:c t="inlineStr" r="U101">
        <x:is>
          <x:t>Eduardo Campos</x:t>
        </x:is>
      </x:c>
      <x:c r="V101">
        <x:f>HYPERLINK("http://instagram.com/euduplay")</x:f>
      </x:c>
      <x:c t="n" r="W101">
        <x:v>36244</x:v>
      </x:c>
      <x:c t="inlineStr" r="X101"/>
      <x:c t="inlineStr" r="Y101">
        <x:is>
          <x:t>Rede social</x:t>
        </x:is>
      </x:c>
      <x:c t="inlineStr" r="Z101">
        <x:is>
          <x:t>Português</x:t>
        </x:is>
      </x:c>
      <x:c t="inlineStr" r="AA101"/>
      <x:c t="inlineStr" r="AB101"/>
      <x:c t="inlineStr" r="AC101"/>
      <x:c t="inlineStr" r="AD101"/>
      <x:c t="n" r="AE101">
        <x:v>8135</x:v>
      </x:c>
      <x:c t="n" r="AF101">
        <x:v>8367</x:v>
      </x:c>
      <x:c t="n" r="AG101">
        <x:v>8135</x:v>
      </x:c>
      <x:c t="inlineStr" r="AH101"/>
      <x:c t="inlineStr" r="AI101"/>
      <x:c t="inlineStr" r="AJ101"/>
      <x:c t="inlineStr" r="AK101"/>
      <x:c t="inlineStr" r="AL101"/>
      <x:c t="inlineStr" r="AM101"/>
      <x:c t="inlineStr" r="AN101"/>
      <x:c t="n" r="AO101">
        <x:v>232</x:v>
      </x:c>
      <x:c t="inlineStr" r="AP101"/>
      <x:c t="n" r="AQ101">
        <x:v>126451</x:v>
      </x:c>
      <x:c t="inlineStr" r="AR101"/>
      <x:c t="inlineStr" r="AS101"/>
      <x:c t="inlineStr" r="AT101"/>
      <x:c t="n" r="AU101">
        <x:v>36244</x:v>
      </x:c>
      <x:c t="inlineStr" r="AV101"/>
      <x:c t="inlineStr" r="AW101">
        <x:is>
          <x:t>CocaCola,Trident</x:t>
        </x:is>
      </x:c>
      <x:c t="inlineStr" r="AX101">
        <x:is>
          <x:t>plant,clothing,furniture,houseplant,facial hair,flowerpot,footwear,table,television,shirt</x:t>
        </x:is>
      </x:c>
      <x:c t="inlineStr" r="AY101">
        <x:is>
          <x:t>indoor</x:t>
        </x:is>
      </x:c>
      <x:c t="inlineStr" r="AZ101">
        <x:is>
          <x:t>man</x:t>
        </x:is>
      </x:c>
      <x:c t="inlineStr" r="BA101">
        <x:is>
          <x:t/>
        </x:is>
      </x:c>
      <x:c t="inlineStr" r="BB101">
        <x:is>
          <x:t>PHOTO</x:t>
        </x:is>
      </x:c>
      <x:c t="inlineStr" r="BC101"/>
      <x:c t="inlineStr" r="BD101">
        <x:is>
          <x:t>https://scontent-ist1-2.cdninstagram.com/v/t51.82787-15/785280901_18623697871025560_8043946734049195019_n.jpg?stp=dst-jpg_e15_tt6&amp;_nc_cat=111&amp;ig_cache_key=Mzk3MTYxOTA3MDQ0NDQyMTMyMjE4NjIzNjk3ODY1MDI1NTYw.3-ccb7-5&amp;ccb=7-5&amp;_nc_sid=58cdad&amp;efg=eyJ2ZW5jb2RlX3RhZyI6IkNMSVBTLnhwaWRzLjcyMC5zZHIudmlkZW9fZGVmYXVsdF9jb3Zlcl9mcmFtZS5DMyJ9&amp;_nc_ohc=cDHNDLGMTlwQ7kNvwH2ODUc&amp;_nc_oc=AdqjhM6bkT1seufvfcbN-FzoDGaqo3GO_1UF-JdPD7_wnsRtj7Mzqb4UnC1TA5Vno6M&amp;_nc_ad=z-m&amp;_nc_cid=0&amp;_nc_zt=23&amp;_nc_ht=scontent-ist1-2.cdninstagram.com&amp;_nc_gid=jPFgWT5CzW-0qvFpayBhVQ&amp;_nc_ss=7a22e&amp;oh=00_AQHxr1xTSX85KkXYpGvUdOJfyeKG-6i7C36L0FhLn8ZFZg&amp;oe=6A93C044</x:t>
        </x:is>
      </x:c>
      <x:c t="inlineStr" r="BE101">
        <x:is>
          <x:t/>
        </x:is>
      </x:c>
      <x:c t="inlineStr" r="BF101">
        <x:is>
          <x:t>Não</x:t>
        </x:is>
      </x:c>
      <x:c t="inlineStr" r="BG101"/>
      <x:c t="inlineStr" r="BH101">
        <x:is>
          <x:t/>
        </x:is>
      </x:c>
      <x:c t="inlineStr" r="BI101">
        <x:is>
          <x:t>Giveaway</x:t>
        </x:is>
      </x:c>
      <x:c t="inlineStr" r="BJ101"/>
      <x:c t="inlineStr" r="BK101">
        <x:is>
          <x:t>Ipiranga,Rock In Rio</x:t>
        </x:is>
      </x:c>
      <x:c t="inlineStr" r="BL101"/>
      <x:c t="inlineStr" r="BM101"/>
      <x:c t="inlineStr" r="BN101"/>
      <x:c t="inlineStr" r="BO101"/>
      <x:c t="inlineStr" r="BP101"/>
      <x:c t="inlineStr" r="BQ101"/>
      <x:c t="inlineStr" r="BR101"/>
      <x:c t="inlineStr" r="BS101"/>
      <x:c t="inlineStr" r="BT101"/>
      <x:c t="inlineStr" r="BU101"/>
      <x:c t="inlineStr" r="BV101"/>
      <x:c t="inlineStr" r="BW101"/>
      <x:c t="inlineStr" r="BX101"/>
      <x:c t="inlineStr" r="BY101"/>
      <x:c t="inlineStr" r="BZ101">
        <x:is>
          <x:t>Ipiranga</x:t>
        </x:is>
      </x:c>
      <x:c t="inlineStr" r="CA101"/>
      <x:c t="inlineStr" r="CB101"/>
      <x:c t="inlineStr" r="CC101"/>
      <x:c t="inlineStr" r="CD101"/>
      <x:c t="inlineStr" r="CE101">
        <x:is>
          <x:t>Rock In Rio</x:t>
        </x:is>
      </x:c>
      <x:c t="inlineStr" r="CF101"/>
    </x:row>
    <x:row r="102">
      <x:c t="n" r="A102">
        <x:v>1274635169</x:v>
      </x:c>
      <x:c t="inlineStr" r="B102">
        <x:is>
          <x:t>25.08.2026</x:t>
        </x:is>
      </x:c>
      <x:c t="inlineStr" r="C102">
        <x:is>
          <x:t>07:43</x:t>
        </x:is>
      </x:c>
      <x:c t="inlineStr" r="D102">
        <x:is>
          <x:t>25.08.2026 16:29</x:t>
        </x:is>
      </x:c>
      <x:c t="inlineStr" r="E102">
        <x:is>
          <x:t/>
        </x:is>
      </x:c>
      <x:c t="str" r="F102">
        <x:v>🚨 🚨 🚨 Última chance de participar da Promoção Parada Completa! 🏁 Abasteça com Ipimax, pague pelo app KMV e garanta +10 números da sorte. ​​
Você também ganha +2 números da sorte em compras a partir de R$ 10 na AmPm ou no Jet Oil. ​​
São mais de R$ 1 milhão em prêmios, incluindo uma Mitsubishi Nova Triton, uma moto 0 km, viagens, combustível e mais de 600 ingressos para o Rock in Rio Brasil 2026. Participe já!​​
#PromoçãoIpiranga ParadaCompleta​​
Ipiranga Promoção</x:v>
      </x:c>
      <x:c t="inlineStr" r="G102">
        <x:is>
          <x:t/>
        </x:is>
      </x:c>
      <x:c t="inlineStr" r="H102"/>
      <x:c t="inlineStr" r="I102">
        <x:is>
          <x:t>Postar</x:t>
        </x:is>
      </x:c>
      <x:c t="inlineStr" r="J102">
        <x:is>
          <x:t>Localização,Texto,Vídeo</x:t>
        </x:is>
      </x:c>
      <x:c t="inlineStr" r="K102">
        <x:is>
          <x:t>FacebookReels</x:t>
        </x:is>
      </x:c>
      <x:c r="L102">
        <x:f>HYPERLINK("https://www.facebook.com/1687656313368975")</x:f>
      </x:c>
      <x:c t="inlineStr" r="M102">
        <x:is>
          <x:t>Negativo</x:t>
        </x:is>
      </x:c>
      <x:c t="inlineStr" r="N102">
        <x:is>
          <x:t>Auto Posto São Bento</x:t>
        </x:is>
      </x:c>
      <x:c t="inlineStr" r="O102"/>
      <x:c r="P102">
        <x:f>HYPERLINK("https://www.facebook.com/1765165790397727")</x:f>
      </x:c>
      <x:c t="n" r="Q102">
        <x:v>1416</x:v>
      </x:c>
      <x:c t="inlineStr" r="R102">
        <x:is>
          <x:t>Comunidade</x:t>
        </x:is>
      </x:c>
      <x:c t="inlineStr" r="S102"/>
      <x:c t="inlineStr" r="T102">
        <x:is>
          <x:t>facebook.com</x:t>
        </x:is>
      </x:c>
      <x:c t="inlineStr" r="U102">
        <x:is>
          <x:t>Auto Posto São Bento</x:t>
        </x:is>
      </x:c>
      <x:c r="V102">
        <x:f>HYPERLINK("https://www.facebook.com/1765165790397727")</x:f>
      </x:c>
      <x:c t="n" r="W102">
        <x:v>1416</x:v>
      </x:c>
      <x:c t="inlineStr" r="X102"/>
      <x:c t="inlineStr" r="Y102">
        <x:is>
          <x:t>Rede social</x:t>
        </x:is>
      </x:c>
      <x:c t="inlineStr" r="Z102">
        <x:is>
          <x:t>Português</x:t>
        </x:is>
      </x:c>
      <x:c t="inlineStr" r="AA102">
        <x:is>
          <x:t>Brasil</x:t>
        </x:is>
      </x:c>
      <x:c t="inlineStr" r="AB102">
        <x:is>
          <x:t>Santa Catarina</x:t>
        </x:is>
      </x:c>
      <x:c t="inlineStr" r="AC102">
        <x:is>
          <x:t>Siderópolis</x:t>
        </x:is>
      </x:c>
      <x:c t="inlineStr" r="AD102"/>
      <x:c t="inlineStr" r="AE102"/>
      <x:c t="n" r="AF102">
        <x:v>0</x:v>
      </x:c>
      <x:c t="inlineStr" r="AG102"/>
      <x:c t="inlineStr" r="AH102"/>
      <x:c t="inlineStr" r="AI102"/>
      <x:c t="inlineStr" r="AJ102"/>
      <x:c t="inlineStr" r="AK102"/>
      <x:c t="inlineStr" r="AL102"/>
      <x:c t="inlineStr" r="AM102"/>
      <x:c t="inlineStr" r="AN102"/>
      <x:c t="n" r="AO102">
        <x:v>0</x:v>
      </x:c>
      <x:c t="inlineStr" r="AP102"/>
      <x:c t="n" r="AQ102">
        <x:v>6</x:v>
      </x:c>
      <x:c t="inlineStr" r="AR102"/>
      <x:c t="inlineStr" r="AS102"/>
      <x:c t="inlineStr" r="AT102"/>
      <x:c t="n" r="AU102">
        <x:v>1416</x:v>
      </x:c>
      <x:c t="inlineStr" r="AV102"/>
      <x:c t="inlineStr" r="AW102">
        <x:is>
          <x:t/>
        </x:is>
      </x:c>
      <x:c t="inlineStr" r="AX102">
        <x:is>
          <x:t>text</x:t>
        </x:is>
      </x:c>
      <x:c t="inlineStr" r="AY102">
        <x:is>
          <x:t/>
        </x:is>
      </x:c>
      <x:c t="inlineStr" r="AZ102">
        <x:is>
          <x:t/>
        </x:is>
      </x:c>
      <x:c t="inlineStr" r="BA102">
        <x:is>
          <x:t/>
        </x:is>
      </x:c>
      <x:c t="inlineStr" r="BB102">
        <x:is>
          <x:t>ILLUSTRATION</x:t>
        </x:is>
      </x:c>
      <x:c t="inlineStr" r="BC102">
        <x:is>
          <x:t>graphics</x:t>
        </x:is>
      </x:c>
      <x:c t="inlineStr" r="BD102">
        <x:is>
          <x:t>https://scontent.ftlv6-1.fna.fbcdn.net/v/t51.71878-10/784426247_1583265303207653_2346654113951672246_n.jpg?stp=dst-jpg_tt6&amp;cstp=mx640x1136&amp;ctp=p565x565&amp;_nc_cat=100&amp;ccb=1-7&amp;_nc_sid=5fad0e&amp;_nc_ohc=V1eWv2eyxz8Q7kNvwGXKPsp&amp;_nc_oc=AdpuMl63C1thFsL47qmtYboFmvJ8UBW20u1qg_bDWC4KBRUZJ7xY-3li1fKvqeXFLOA&amp;_nc_zt=23&amp;_nc_ht=scontent.ftlv6-1.fna&amp;_nc_gid=Vbh8JuUPF1BBn-4Q6cdrsw&amp;_nc_ss=70100&amp;oh=00_AQFYDSufGu2P4YDoakkecN2WbkM4-5EWsPr5cbNF-SC3Zg&amp;oe=6A93D534</x:t>
        </x:is>
      </x:c>
      <x:c t="inlineStr" r="BE102">
        <x:is>
          <x:t/>
        </x:is>
      </x:c>
      <x:c t="inlineStr" r="BF102">
        <x:is>
          <x:t>Não</x:t>
        </x:is>
      </x:c>
      <x:c t="inlineStr" r="BG102"/>
      <x:c t="inlineStr" r="BH102">
        <x:is>
          <x:t>Autos</x:t>
        </x:is>
      </x:c>
      <x:c t="inlineStr" r="BI102">
        <x:is>
          <x:t>Giveaway</x:t>
        </x:is>
      </x:c>
      <x:c t="inlineStr" r="BJ102"/>
      <x:c t="inlineStr" r="BK102">
        <x:is>
          <x:t>Franquia - Jet Oil,Franquia - AmPm,Ipimax,Campanha: Parada Completa,Ipiranga,App KMV,Rock In Rio</x:t>
        </x:is>
      </x:c>
      <x:c t="inlineStr" r="BL102"/>
      <x:c t="inlineStr" r="BM102"/>
      <x:c t="inlineStr" r="BN102"/>
      <x:c t="inlineStr" r="BO102"/>
      <x:c t="inlineStr" r="BP102"/>
      <x:c t="inlineStr" r="BQ102"/>
      <x:c t="inlineStr" r="BR102"/>
      <x:c t="inlineStr" r="BS102"/>
      <x:c t="inlineStr" r="BT102"/>
      <x:c t="inlineStr" r="BU102"/>
      <x:c t="inlineStr" r="BV102">
        <x:is>
          <x:t>Franquia - AmPm</x:t>
        </x:is>
      </x:c>
      <x:c t="inlineStr" r="BW102">
        <x:is>
          <x:t>Ipimax</x:t>
        </x:is>
      </x:c>
      <x:c t="inlineStr" r="BX102">
        <x:is>
          <x:t>Franquia - Jet Oil</x:t>
        </x:is>
      </x:c>
      <x:c t="inlineStr" r="BY102">
        <x:is>
          <x:t>Campanha: Parada Completa</x:t>
        </x:is>
      </x:c>
      <x:c t="inlineStr" r="BZ102">
        <x:is>
          <x:t>Ipiranga</x:t>
        </x:is>
      </x:c>
      <x:c t="inlineStr" r="CA102"/>
      <x:c t="inlineStr" r="CB102"/>
      <x:c t="inlineStr" r="CC102"/>
      <x:c t="inlineStr" r="CD102">
        <x:is>
          <x:t>App KMV</x:t>
        </x:is>
      </x:c>
      <x:c t="inlineStr" r="CE102">
        <x:is>
          <x:t>Rock In Rio</x:t>
        </x:is>
      </x:c>
      <x:c t="inlineStr" r="CF102"/>
    </x:row>
    <x:row r="103">
      <x:c t="n" r="A103">
        <x:v>1449132525</x:v>
      </x:c>
      <x:c t="inlineStr" r="B103">
        <x:is>
          <x:t>25.08.2026</x:t>
        </x:is>
      </x:c>
      <x:c t="inlineStr" r="C103">
        <x:is>
          <x:t>07:43</x:t>
        </x:is>
      </x:c>
      <x:c t="inlineStr" r="D103">
        <x:is>
          <x:t>25.08.2026 18:47</x:t>
        </x:is>
      </x:c>
      <x:c t="inlineStr" r="E103">
        <x:is>
          <x:t/>
        </x:is>
      </x:c>
      <x:c t="str" r="F103">
        <x:v>🚨 🚨 🚨 Última chance de participar da Promoção Parada Completa! 🏁 Abasteça com Ipimax, pague pelo app KMV e garanta +10 números da sorte. ​​
Você também ganha +2 números da sorte em compras a partir de R$ 10 na AmPm ou no Jet Oil. ​​
São mais de R$ 1 milhão em prêmios, incluindo uma Mitsubishi Nova Triton, uma moto 0 km, viagens, combustível e mais de 600 ingressos para o Rock in Rio Brasil 2026. Participe já!​​
#PromoçãoIpiranga ParadaCompleta​​
Ipiranga Promoção</x:v>
      </x:c>
      <x:c t="inlineStr" r="G103">
        <x:is>
          <x:t/>
        </x:is>
      </x:c>
      <x:c t="inlineStr" r="H103"/>
      <x:c t="inlineStr" r="I103">
        <x:is>
          <x:t>Postar</x:t>
        </x:is>
      </x:c>
      <x:c t="inlineStr" r="J103">
        <x:is>
          <x:t>Texto,Vídeo</x:t>
        </x:is>
      </x:c>
      <x:c t="inlineStr" r="K103">
        <x:is>
          <x:t>InstagramReels</x:t>
        </x:is>
      </x:c>
      <x:c r="L103">
        <x:f>HYPERLINK("https://www.instagram.com/p/DcdcvRERv5m/")</x:f>
      </x:c>
      <x:c t="inlineStr" r="M103">
        <x:is>
          <x:t>Negativo</x:t>
        </x:is>
      </x:c>
      <x:c t="inlineStr" r="N103">
        <x:is>
          <x:t>POSTO DE COMBUSTÍVEL &amp; CONVENIÊNCIA</x:t>
        </x:is>
      </x:c>
      <x:c t="inlineStr" r="O103">
        <x:is>
          <x:t>autoposto_saobento</x:t>
        </x:is>
      </x:c>
      <x:c r="P103">
        <x:f>HYPERLINK("http://instagram.com/autoposto_saobento")</x:f>
      </x:c>
      <x:c t="n" r="Q103">
        <x:v>1349</x:v>
      </x:c>
      <x:c t="inlineStr" r="R103"/>
      <x:c t="inlineStr" r="S103"/>
      <x:c t="inlineStr" r="T103">
        <x:is>
          <x:t>instagram.com</x:t>
        </x:is>
      </x:c>
      <x:c t="inlineStr" r="U103">
        <x:is>
          <x:t>POSTO DE COMBUSTÍVEL &amp; CONVENIÊNCIA</x:t>
        </x:is>
      </x:c>
      <x:c r="V103">
        <x:f>HYPERLINK("http://instagram.com/autoposto_saobento")</x:f>
      </x:c>
      <x:c t="n" r="W103">
        <x:v>1349</x:v>
      </x:c>
      <x:c t="inlineStr" r="X103"/>
      <x:c t="inlineStr" r="Y103">
        <x:is>
          <x:t>Rede social</x:t>
        </x:is>
      </x:c>
      <x:c t="inlineStr" r="Z103">
        <x:is>
          <x:t>Português</x:t>
        </x:is>
      </x:c>
      <x:c t="inlineStr" r="AA103"/>
      <x:c t="inlineStr" r="AB103"/>
      <x:c t="inlineStr" r="AC103"/>
      <x:c t="inlineStr" r="AD103"/>
      <x:c t="n" r="AE103">
        <x:v>4</x:v>
      </x:c>
      <x:c t="n" r="AF103">
        <x:v>4</x:v>
      </x:c>
      <x:c t="n" r="AG103">
        <x:v>4</x:v>
      </x:c>
      <x:c t="inlineStr" r="AH103"/>
      <x:c t="inlineStr" r="AI103"/>
      <x:c t="inlineStr" r="AJ103"/>
      <x:c t="inlineStr" r="AK103"/>
      <x:c t="inlineStr" r="AL103"/>
      <x:c t="inlineStr" r="AM103"/>
      <x:c t="inlineStr" r="AN103"/>
      <x:c t="n" r="AO103">
        <x:v>0</x:v>
      </x:c>
      <x:c t="inlineStr" r="AP103"/>
      <x:c t="n" r="AQ103">
        <x:v>83</x:v>
      </x:c>
      <x:c t="inlineStr" r="AR103"/>
      <x:c t="inlineStr" r="AS103"/>
      <x:c t="inlineStr" r="AT103"/>
      <x:c t="n" r="AU103">
        <x:v>1349</x:v>
      </x:c>
      <x:c t="inlineStr" r="AV103"/>
      <x:c t="inlineStr" r="AW103">
        <x:is>
          <x:t/>
        </x:is>
      </x:c>
      <x:c t="inlineStr" r="AX103">
        <x:is>
          <x:t>text</x:t>
        </x:is>
      </x:c>
      <x:c t="inlineStr" r="AY103">
        <x:is>
          <x:t/>
        </x:is>
      </x:c>
      <x:c t="inlineStr" r="AZ103">
        <x:is>
          <x:t/>
        </x:is>
      </x:c>
      <x:c t="inlineStr" r="BA103">
        <x:is>
          <x:t/>
        </x:is>
      </x:c>
      <x:c t="inlineStr" r="BB103">
        <x:is>
          <x:t>ILLUSTRATION</x:t>
        </x:is>
      </x:c>
      <x:c t="inlineStr" r="BC103">
        <x:is>
          <x:t>graphics</x:t>
        </x:is>
      </x:c>
      <x:c t="inlineStr" r="BD103">
        <x:is>
          <x:t>https://scontent-iad6-1.cdninstagram.com/v/t51.71878-15/784426247_1583265303207653_2346654113951672246_n.jpg?stp=dst-jpg_e15_tt6&amp;_nc_cat=100&amp;ig_cache_key=Mzk3MTQ1NjgzOTg1MzczNTUyNg%3D%3D.3-ccb7-5&amp;ccb=7-5&amp;_nc_sid=58cdad&amp;efg=eyJ2ZW5jb2RlX3RhZyI6IkNMSVBTLnhwaWRzLjY0MC5zZHIudmlkZW9fZGVmYXVsdF9jb3Zlcl9mcmFtZS5DMyJ9&amp;_nc_ohc=V1eWv2eyxz8Q7kNvwHCIAbG&amp;_nc_oc=Ado0n6NaUV-obIWA95PsQwLknfdMg6WoIbv-S6VQfTYJEXDB1ArrvAeh06WkyGEFezc&amp;_nc_ad=z-m&amp;_nc_cid=0&amp;_nc_zt=23&amp;_nc_ht=scontent-iad6-1.cdninstagram.com&amp;_nc_gid=bCPm-h1ipkxtY7dZVthqvw&amp;_nc_ss=7a22e&amp;oh=00_AQHBaOheTyKnXSgqS7GXwkG3ijbsLxtAGLhEJ9eJLMf8Cg&amp;oe=6A93C55E</x:t>
        </x:is>
      </x:c>
      <x:c t="inlineStr" r="BE103">
        <x:is>
          <x:t/>
        </x:is>
      </x:c>
      <x:c t="inlineStr" r="BF103">
        <x:is>
          <x:t>Não</x:t>
        </x:is>
      </x:c>
      <x:c t="inlineStr" r="BG103"/>
      <x:c t="inlineStr" r="BH103">
        <x:is>
          <x:t>Autos</x:t>
        </x:is>
      </x:c>
      <x:c t="inlineStr" r="BI103">
        <x:is>
          <x:t>Giveaway</x:t>
        </x:is>
      </x:c>
      <x:c t="inlineStr" r="BJ103"/>
      <x:c t="inlineStr" r="BK103">
        <x:is>
          <x:t>Franquia - Jet Oil,Franquia - AmPm,Ipimax,Campanha: Parada Completa,Ipiranga,App KMV,Rock In Rio</x:t>
        </x:is>
      </x:c>
      <x:c t="inlineStr" r="BL103"/>
      <x:c t="inlineStr" r="BM103"/>
      <x:c t="inlineStr" r="BN103"/>
      <x:c t="inlineStr" r="BO103"/>
      <x:c t="inlineStr" r="BP103"/>
      <x:c t="inlineStr" r="BQ103"/>
      <x:c t="inlineStr" r="BR103"/>
      <x:c t="inlineStr" r="BS103"/>
      <x:c t="inlineStr" r="BT103"/>
      <x:c t="inlineStr" r="BU103"/>
      <x:c t="inlineStr" r="BV103">
        <x:is>
          <x:t>Franquia - AmPm</x:t>
        </x:is>
      </x:c>
      <x:c t="inlineStr" r="BW103">
        <x:is>
          <x:t>Ipimax</x:t>
        </x:is>
      </x:c>
      <x:c t="inlineStr" r="BX103">
        <x:is>
          <x:t>Franquia - Jet Oil</x:t>
        </x:is>
      </x:c>
      <x:c t="inlineStr" r="BY103">
        <x:is>
          <x:t>Campanha: Parada Completa</x:t>
        </x:is>
      </x:c>
      <x:c t="inlineStr" r="BZ103">
        <x:is>
          <x:t>Ipiranga</x:t>
        </x:is>
      </x:c>
      <x:c t="inlineStr" r="CA103"/>
      <x:c t="inlineStr" r="CB103"/>
      <x:c t="inlineStr" r="CC103"/>
      <x:c t="inlineStr" r="CD103">
        <x:is>
          <x:t>App KMV</x:t>
        </x:is>
      </x:c>
      <x:c t="inlineStr" r="CE103">
        <x:is>
          <x:t>Rock In Rio</x:t>
        </x:is>
      </x:c>
      <x:c t="inlineStr" r="CF103"/>
    </x:row>
    <x:row r="104">
      <x:c t="n" r="A104">
        <x:v>283661189</x:v>
      </x:c>
      <x:c t="inlineStr" r="B104">
        <x:is>
          <x:t>24.08.2026</x:t>
        </x:is>
      </x:c>
      <x:c t="inlineStr" r="C104">
        <x:is>
          <x:t>11:49</x:t>
        </x:is>
      </x:c>
      <x:c t="inlineStr" r="D104">
        <x:is>
          <x:t>24.08.2026 13:31</x:t>
        </x:is>
      </x:c>
      <x:c t="inlineStr" r="E104">
        <x:is>
          <x:t/>
        </x:is>
      </x:c>
      <x:c t="str" r="F104">
        <x:v>1 MILHÃO DE BRINDES NO ROCK IN RIO 2026! — PARTE 3
Chegamos à última parte da nossa caça aos brindes do Rock in Rio! 
E essa seleção tem de tudo: Tamagotchi personalizado, copo térmico, pochete, leque, shoulder bag, produtos Trident e muito mais.
Também tem Ipiranga, Nissin, Natura e Trident, com ativações espalhadas pela Cidade do Rock.
E vale lembrar: estamos falando de apenas uma parte das ativações. O Rock in Rio terá mais de 90 marcas, mais de 100 ativações e cerca de 1 milhão de brindes durante os sete dias de festival.
📍 Cidade do Rock — Rio de Janeiro
📅 4, 5, 6, 7, 11, 12 e 13 de setembro
Então já sabe: além de montar o roteiro dos shows, vale montar também o roteiro dos brindes. 
Agora quero saber: qual desses você mais quer conseguir? 
#riodejaneiro #rio #rock #rockinrio #festival</x:v>
      </x:c>
      <x:c t="inlineStr" r="G104">
        <x:is>
          <x:t/>
        </x:is>
      </x:c>
      <x:c t="inlineStr" r="H104"/>
      <x:c t="inlineStr" r="I104">
        <x:is>
          <x:t>Postar</x:t>
        </x:is>
      </x:c>
      <x:c t="inlineStr" r="J104">
        <x:is>
          <x:t>Texto,Vídeo</x:t>
        </x:is>
      </x:c>
      <x:c t="inlineStr" r="K104">
        <x:is>
          <x:t>InstagramReels</x:t>
        </x:is>
      </x:c>
      <x:c r="L104">
        <x:f>HYPERLINK("https://www.instagram.com/reel/DcbThSMOIb0/")</x:f>
      </x:c>
      <x:c t="inlineStr" r="M104">
        <x:is>
          <x:t>Negativo</x:t>
        </x:is>
      </x:c>
      <x:c t="inlineStr" r="N104">
        <x:is>
          <x:t>Ítalo Rabelo Cobain</x:t>
        </x:is>
      </x:c>
      <x:c t="inlineStr" r="O104">
        <x:is>
          <x:t>italocobain</x:t>
        </x:is>
      </x:c>
      <x:c r="P104">
        <x:f>HYPERLINK("https://www.instagram.com/italocobain/")</x:f>
      </x:c>
      <x:c t="n" r="Q104">
        <x:v>2721</x:v>
      </x:c>
      <x:c t="inlineStr" r="R104">
        <x:is>
          <x:t>Homem</x:t>
        </x:is>
      </x:c>
      <x:c t="inlineStr" r="S104"/>
      <x:c t="inlineStr" r="T104">
        <x:is>
          <x:t>instagram.com</x:t>
        </x:is>
      </x:c>
      <x:c t="inlineStr" r="U104">
        <x:is>
          <x:t>Ítalo Rabelo Cobain</x:t>
        </x:is>
      </x:c>
      <x:c r="V104">
        <x:f>HYPERLINK("https://www.instagram.com/italocobain/")</x:f>
      </x:c>
      <x:c t="n" r="W104">
        <x:v>2721</x:v>
      </x:c>
      <x:c t="inlineStr" r="X104"/>
      <x:c t="inlineStr" r="Y104">
        <x:is>
          <x:t>Rede social</x:t>
        </x:is>
      </x:c>
      <x:c t="inlineStr" r="Z104">
        <x:is>
          <x:t>Português</x:t>
        </x:is>
      </x:c>
      <x:c t="inlineStr" r="AA104"/>
      <x:c t="inlineStr" r="AB104"/>
      <x:c t="inlineStr" r="AC104"/>
      <x:c t="inlineStr" r="AD104"/>
      <x:c t="n" r="AE104">
        <x:v>11</x:v>
      </x:c>
      <x:c t="n" r="AF104">
        <x:v>16</x:v>
      </x:c>
      <x:c t="n" r="AG104">
        <x:v>11</x:v>
      </x:c>
      <x:c t="inlineStr" r="AH104"/>
      <x:c t="inlineStr" r="AI104"/>
      <x:c t="inlineStr" r="AJ104"/>
      <x:c t="inlineStr" r="AK104"/>
      <x:c t="inlineStr" r="AL104"/>
      <x:c t="inlineStr" r="AM104"/>
      <x:c t="inlineStr" r="AN104"/>
      <x:c t="n" r="AO104">
        <x:v>5</x:v>
      </x:c>
      <x:c t="inlineStr" r="AP104"/>
      <x:c t="inlineStr" r="AQ104"/>
      <x:c t="inlineStr" r="AR104"/>
      <x:c t="inlineStr" r="AS104"/>
      <x:c t="inlineStr" r="AT104"/>
      <x:c t="n" r="AU104">
        <x:v>2721</x:v>
      </x:c>
      <x:c t="inlineStr" r="AV104"/>
      <x:c t="inlineStr" r="AW104">
        <x:is>
          <x:t>Trident,Natura brasil,Ipiranga</x:t>
        </x:is>
      </x:c>
      <x:c t="inlineStr" r="AX104">
        <x:is>
          <x:t>text,poster</x:t>
        </x:is>
      </x:c>
      <x:c t="inlineStr" r="AY104">
        <x:is>
          <x:t/>
        </x:is>
      </x:c>
      <x:c t="inlineStr" r="AZ104">
        <x:is>
          <x:t/>
        </x:is>
      </x:c>
      <x:c t="inlineStr" r="BA104">
        <x:is>
          <x:t/>
        </x:is>
      </x:c>
      <x:c t="inlineStr" r="BB104">
        <x:is>
          <x:t>ILLUSTRATION</x:t>
        </x:is>
      </x:c>
      <x:c t="inlineStr" r="BC104">
        <x:is>
          <x:t>advertising</x:t>
        </x:is>
      </x:c>
      <x:c t="inlineStr" r="BD104">
        <x:is>
          <x:t>https://scontent-ams2-1.cdninstagram.com/v/t51.82787-15/778973679_18611119174044163_1878528399867390712_n.jpg?stp=dst-jpg_e35_tt6&amp;_nc_cat=108&amp;ccb=7-5&amp;_nc_sid=18de74&amp;efg=eyJlZmdfdGFnIjoiQ0xJUFMuYmVzdF9pbWFnZV91cmxnZW4uQzMifQ%3D%3D&amp;_nc_ohc=9PIR3_X000oQ7kNvwGXau-B&amp;_nc_oc=AdrUJoSQdY2uIMvFQyQI9fryH9fByjbDw3C_178jEkCR5YWX-seCJ_OM-hWD81UHFNc&amp;_nc_zt=23&amp;_nc_ht=scontent-ams2-1.cdninstagram.com&amp;edm=AJ7ooaQEAAAA&amp;_nc_gid=UGwjvUcVjj-cehTJAfe31w&amp;_nc_tpa=Q5bMBQJy4I6Xuj1M1MhLtPiEAK55KDf_FkDaDRILwfvJ57Ewx0zAk-3oGvOIjUjaMIBem7OymF1s18VxaQ&amp;oh=00_AQGLU9BMYAQ4hH4DxZ2TvjA4wwhG548Xaq7bq15HMpfMsQ&amp;oe=6A92410E</x:t>
        </x:is>
      </x:c>
      <x:c t="inlineStr" r="BE104">
        <x:is>
          <x:t/>
        </x:is>
      </x:c>
      <x:c t="inlineStr" r="BF104">
        <x:is>
          <x:t>Não</x:t>
        </x:is>
      </x:c>
      <x:c t="inlineStr" r="BG104"/>
      <x:c t="inlineStr" r="BH104">
        <x:is>
          <x:t/>
        </x:is>
      </x:c>
      <x:c t="inlineStr" r="BI104">
        <x:is>
          <x:t>Promoção</x:t>
        </x:is>
      </x:c>
      <x:c t="inlineStr" r="BJ104"/>
      <x:c t="inlineStr" r="BK104">
        <x:is>
          <x:t>Ipiranga,Rock In Rio</x:t>
        </x:is>
      </x:c>
      <x:c t="inlineStr" r="BL104"/>
      <x:c t="inlineStr" r="BM104"/>
      <x:c t="inlineStr" r="BN104"/>
      <x:c t="inlineStr" r="BO104"/>
      <x:c t="inlineStr" r="BP104"/>
      <x:c t="inlineStr" r="BQ104"/>
      <x:c t="inlineStr" r="BR104"/>
      <x:c t="inlineStr" r="BS104"/>
      <x:c t="inlineStr" r="BT104"/>
      <x:c t="inlineStr" r="BU104"/>
      <x:c t="inlineStr" r="BV104"/>
      <x:c t="inlineStr" r="BW104"/>
      <x:c t="inlineStr" r="BX104"/>
      <x:c t="inlineStr" r="BY104"/>
      <x:c t="inlineStr" r="BZ104">
        <x:is>
          <x:t>Ipiranga</x:t>
        </x:is>
      </x:c>
      <x:c t="inlineStr" r="CA104"/>
      <x:c t="inlineStr" r="CB104"/>
      <x:c t="inlineStr" r="CC104"/>
      <x:c t="inlineStr" r="CD104"/>
      <x:c t="inlineStr" r="CE104">
        <x:is>
          <x:t>Rock In Rio</x:t>
        </x:is>
      </x:c>
      <x:c t="inlineStr" r="CF104"/>
    </x:row>
    <x:row r="105">
      <x:c t="n" r="A105">
        <x:v>2556947327</x:v>
      </x:c>
      <x:c t="inlineStr" r="B105">
        <x:is>
          <x:t>23.08.2026</x:t>
        </x:is>
      </x:c>
      <x:c t="inlineStr" r="C105">
        <x:is>
          <x:t>19:47</x:t>
        </x:is>
      </x:c>
      <x:c t="inlineStr" r="D105">
        <x:is>
          <x:t>26.08.2026 16:45</x:t>
        </x:is>
      </x:c>
      <x:c t="inlineStr" r="E105">
        <x:is>
          <x:t/>
        </x:is>
      </x:c>
      <x:c t="str" r="F105">
        <x:v>🎟️ Resgate seu ingresso de gramado pelo app KMV usando pontos + dinheiro e ainda ganhe R$ 100 em vale-combustível.
Depois é só fazer uma Parada Completa no Ipiranga e partir pro festival. ⛽🚗
#Ipiranga #KMV #RockinRio2026
Resgate aqui: https://www.ipiranga.com.br/wps/portal/pt-br/ipiranga/a-ipiranga/campanhas-e-acoes/promocoes-e-ofertas/rock-in-rio?utm_source=social&amp;utm_medium=organico&amp;utm_campaign=kmv&amp;utm_term=fandom&amp;utm_content=DTI</x:v>
      </x:c>
      <x:c t="inlineStr" r="G105">
        <x:is>
          <x:t/>
        </x:is>
      </x:c>
      <x:c t="inlineStr" r="H105"/>
      <x:c t="inlineStr" r="I105">
        <x:is>
          <x:t>Repost</x:t>
        </x:is>
      </x:c>
      <x:c t="inlineStr" r="J105">
        <x:is>
          <x:t>Imagem,Álbum,Texto</x:t>
        </x:is>
      </x:c>
      <x:c t="inlineStr" r="K105"/>
      <x:c r="L105">
        <x:f>HYPERLINK("https://x.com/Marina_neri/status/2091658616264671449")</x:f>
      </x:c>
      <x:c t="inlineStr" r="M105">
        <x:is>
          <x:t>Negativo</x:t>
        </x:is>
      </x:c>
      <x:c t="inlineStr" r="N105">
        <x:is>
          <x:t>♈</x:t>
        </x:is>
      </x:c>
      <x:c t="inlineStr" r="O105">
        <x:is>
          <x:t>Marina_neri</x:t>
        </x:is>
      </x:c>
      <x:c r="P105">
        <x:f>HYPERLINK("http://x.com/Marina_neri")</x:f>
      </x:c>
      <x:c t="n" r="Q105">
        <x:v>555</x:v>
      </x:c>
      <x:c t="inlineStr" r="R105"/>
      <x:c t="inlineStr" r="S105"/>
      <x:c t="inlineStr" r="T105">
        <x:is>
          <x:t>x.com</x:t>
        </x:is>
      </x:c>
      <x:c t="inlineStr" r="U105"/>
      <x:c t="inlineStr" r="V105"/>
      <x:c t="inlineStr" r="W105"/>
      <x:c t="inlineStr" r="X105"/>
      <x:c t="inlineStr" r="Y105">
        <x:is>
          <x:t>Rede social</x:t>
        </x:is>
      </x:c>
      <x:c t="inlineStr" r="Z105">
        <x:is>
          <x:t>Português</x:t>
        </x:is>
      </x:c>
      <x:c t="inlineStr" r="AA105">
        <x:is>
          <x:t>Brasil</x:t>
        </x:is>
      </x:c>
      <x:c t="inlineStr" r="AB105"/>
      <x:c t="inlineStr" r="AC105"/>
      <x:c t="inlineStr" r="AD105"/>
      <x:c t="inlineStr" r="AE105"/>
      <x:c t="n" r="AF105">
        <x:v>0</x:v>
      </x:c>
      <x:c t="inlineStr" r="AG105"/>
      <x:c t="inlineStr" r="AH105"/>
      <x:c t="inlineStr" r="AI105"/>
      <x:c t="inlineStr" r="AJ105"/>
      <x:c t="inlineStr" r="AK105"/>
      <x:c t="inlineStr" r="AL105"/>
      <x:c t="inlineStr" r="AM105"/>
      <x:c t="inlineStr" r="AN105"/>
      <x:c t="inlineStr" r="AO105"/>
      <x:c t="inlineStr" r="AP105"/>
      <x:c t="inlineStr" r="AQ105"/>
      <x:c t="inlineStr" r="AR105"/>
      <x:c t="inlineStr" r="AS105"/>
      <x:c t="inlineStr" r="AT105"/>
      <x:c t="n" r="AU105">
        <x:v>555</x:v>
      </x:c>
      <x:c t="inlineStr" r="AV105"/>
      <x:c t="inlineStr" r="AW105">
        <x:is>
          <x:t/>
        </x:is>
      </x:c>
      <x:c t="inlineStr" r="AX105">
        <x:is>
          <x:t>text,poster</x:t>
        </x:is>
      </x:c>
      <x:c t="inlineStr" r="AY105">
        <x:is>
          <x:t/>
        </x:is>
      </x:c>
      <x:c t="inlineStr" r="AZ105">
        <x:is>
          <x:t/>
        </x:is>
      </x:c>
      <x:c t="inlineStr" r="BA105">
        <x:is>
          <x:t/>
        </x:is>
      </x:c>
      <x:c t="inlineStr" r="BB105">
        <x:is>
          <x:t>ILLUSTRATION</x:t>
        </x:is>
      </x:c>
      <x:c t="inlineStr" r="BC105">
        <x:is>
          <x:t>advertising</x:t>
        </x:is>
      </x:c>
      <x:c r="BD105">
        <x:f>HYPERLINK("https://pbs.twimg.com/media/HQbtdvgW4AENvFY.jpg")</x:f>
      </x:c>
      <x:c t="inlineStr" r="BE105">
        <x:is>
          <x:t/>
        </x:is>
      </x:c>
      <x:c t="inlineStr" r="BF105">
        <x:is>
          <x:t>Não</x:t>
        </x:is>
      </x:c>
      <x:c t="inlineStr" r="BG105"/>
      <x:c t="inlineStr" r="BH105">
        <x:is>
          <x:t/>
        </x:is>
      </x:c>
      <x:c t="inlineStr" r="BI105">
        <x:is>
          <x:t>Giveaway</x:t>
        </x:is>
      </x:c>
      <x:c t="inlineStr" r="BJ105"/>
      <x:c t="inlineStr" r="BK105">
        <x:is>
          <x:t>Campanha: Parada Completa,Ipiranga,App KMV,Rock In Rio</x:t>
        </x:is>
      </x:c>
      <x:c t="inlineStr" r="BL105"/>
      <x:c t="inlineStr" r="BM105"/>
      <x:c t="inlineStr" r="BN105"/>
      <x:c t="inlineStr" r="BO105"/>
      <x:c t="inlineStr" r="BP105"/>
      <x:c t="inlineStr" r="BQ105"/>
      <x:c t="inlineStr" r="BR105"/>
      <x:c t="inlineStr" r="BS105"/>
      <x:c t="inlineStr" r="BT105"/>
      <x:c t="inlineStr" r="BU105"/>
      <x:c t="inlineStr" r="BV105"/>
      <x:c t="inlineStr" r="BW105"/>
      <x:c t="inlineStr" r="BX105"/>
      <x:c t="inlineStr" r="BY105">
        <x:is>
          <x:t>Campanha: Parada Completa</x:t>
        </x:is>
      </x:c>
      <x:c t="inlineStr" r="BZ105">
        <x:is>
          <x:t>Ipiranga</x:t>
        </x:is>
      </x:c>
      <x:c t="inlineStr" r="CA105"/>
      <x:c t="inlineStr" r="CB105"/>
      <x:c t="inlineStr" r="CC105"/>
      <x:c t="inlineStr" r="CD105">
        <x:is>
          <x:t>App KMV</x:t>
        </x:is>
      </x:c>
      <x:c t="inlineStr" r="CE105">
        <x:is>
          <x:t>Rock In Rio</x:t>
        </x:is>
      </x:c>
      <x:c t="inlineStr" r="CF105"/>
    </x:row>
    <x:row r="106">
      <x:c t="n" r="A106">
        <x:v>2988343672</x:v>
      </x:c>
      <x:c t="inlineStr" r="B106">
        <x:is>
          <x:t>23.08.2026</x:t>
        </x:is>
      </x:c>
      <x:c t="inlineStr" r="C106">
        <x:is>
          <x:t>17:17</x:t>
        </x:is>
      </x:c>
      <x:c t="inlineStr" r="D106">
        <x:is>
          <x:t>24.08.2026 13:09</x:t>
        </x:is>
      </x:c>
      <x:c t="inlineStr" r="E106">
        <x:is>
          <x:t/>
        </x:is>
      </x:c>
      <x:c t="str" r="F106">
        <x:v>Ainda tem ingresso de gramado para sua banda do coração no Rock in Rio Brasil 2026.
🎟️ Resgate seu ingresso de gramado pelo app KMV usando pontos + dinheiro e ganhe R$ 100 em vale-combustível.
Passe no Posto Ipiranga, complete o tanque com Ipimax, faça aquela parada na AmPm ou no Jet Oil e fique preparado pra curtir o melhor do festival. 🤘🚗⛽
#Ipiranga #KMV #RockinRio2026
Resgate aqui: https://www.ipiranga.com.br/wps/portal/pt-br/ipiranga/a-ipiranga/campanhas-e-acoes/promocoes-e-ofertas/rock-in-rio?utm_source=social&amp;utm_medium=organico&amp;utm_campaign=kmv&amp;utm_term=fandom&amp;utm_content=DTI</x:v>
      </x:c>
      <x:c t="inlineStr" r="G106">
        <x:is>
          <x:t/>
        </x:is>
      </x:c>
      <x:c t="inlineStr" r="H106"/>
      <x:c t="inlineStr" r="I106">
        <x:is>
          <x:t>Postar</x:t>
        </x:is>
      </x:c>
      <x:c t="inlineStr" r="J106">
        <x:is>
          <x:t>Texto,Álbum,Imagem</x:t>
        </x:is>
      </x:c>
      <x:c t="inlineStr" r="K106"/>
      <x:c r="L106">
        <x:f>HYPERLINK("https://www.facebook.com/1633749798111162")</x:f>
      </x:c>
      <x:c t="inlineStr" r="M106">
        <x:is>
          <x:t>Negativo</x:t>
        </x:is>
      </x:c>
      <x:c t="inlineStr" r="N106">
        <x:is>
          <x:t>A7x Frases &amp; Versos</x:t>
        </x:is>
      </x:c>
      <x:c t="inlineStr" r="O106"/>
      <x:c r="P106">
        <x:f>HYPERLINK("https://www.facebook.com/313804922129399")</x:f>
      </x:c>
      <x:c t="n" r="Q106">
        <x:v>148945</x:v>
      </x:c>
      <x:c t="inlineStr" r="R106">
        <x:is>
          <x:t>Comunidade</x:t>
        </x:is>
      </x:c>
      <x:c t="inlineStr" r="S106"/>
      <x:c t="inlineStr" r="T106">
        <x:is>
          <x:t>facebook.com</x:t>
        </x:is>
      </x:c>
      <x:c t="inlineStr" r="U106">
        <x:is>
          <x:t>A7x Frases &amp; Versos</x:t>
        </x:is>
      </x:c>
      <x:c r="V106">
        <x:f>HYPERLINK("https://www.facebook.com/313804922129399")</x:f>
      </x:c>
      <x:c t="n" r="W106">
        <x:v>148945</x:v>
      </x:c>
      <x:c t="inlineStr" r="X106"/>
      <x:c t="inlineStr" r="Y106">
        <x:is>
          <x:t>Rede social</x:t>
        </x:is>
      </x:c>
      <x:c t="inlineStr" r="Z106">
        <x:is>
          <x:t>Português</x:t>
        </x:is>
      </x:c>
      <x:c t="inlineStr" r="AA106"/>
      <x:c t="inlineStr" r="AB106"/>
      <x:c t="inlineStr" r="AC106"/>
      <x:c t="inlineStr" r="AD106"/>
      <x:c t="n" r="AE106">
        <x:v>5</x:v>
      </x:c>
      <x:c t="n" r="AF106">
        <x:v>7</x:v>
      </x:c>
      <x:c t="n" r="AG106">
        <x:v>5</x:v>
      </x:c>
      <x:c t="inlineStr" r="AH106"/>
      <x:c t="inlineStr" r="AI106"/>
      <x:c t="inlineStr" r="AJ106"/>
      <x:c t="inlineStr" r="AK106"/>
      <x:c t="inlineStr" r="AL106"/>
      <x:c t="inlineStr" r="AM106"/>
      <x:c t="inlineStr" r="AN106"/>
      <x:c t="n" r="AO106">
        <x:v>2</x:v>
      </x:c>
      <x:c t="inlineStr" r="AP106"/>
      <x:c t="inlineStr" r="AQ106"/>
      <x:c t="inlineStr" r="AR106"/>
      <x:c t="inlineStr" r="AS106"/>
      <x:c t="inlineStr" r="AT106"/>
      <x:c t="n" r="AU106">
        <x:v>148945</x:v>
      </x:c>
      <x:c t="inlineStr" r="AV106"/>
      <x:c t="inlineStr" r="AW106">
        <x:is>
          <x:t/>
        </x:is>
      </x:c>
      <x:c t="inlineStr" r="AX106">
        <x:is>
          <x:t>text,poster</x:t>
        </x:is>
      </x:c>
      <x:c t="inlineStr" r="AY106">
        <x:is>
          <x:t/>
        </x:is>
      </x:c>
      <x:c t="inlineStr" r="AZ106">
        <x:is>
          <x:t/>
        </x:is>
      </x:c>
      <x:c t="inlineStr" r="BA106">
        <x:is>
          <x:t/>
        </x:is>
      </x:c>
      <x:c t="inlineStr" r="BB106">
        <x:is>
          <x:t>ILLUSTRATION</x:t>
        </x:is>
      </x:c>
      <x:c t="inlineStr" r="BC106">
        <x:is>
          <x:t>advertising</x:t>
        </x:is>
      </x:c>
      <x:c t="inlineStr" r="BD106">
        <x:is>
          <x:t>https://scontent.fgua2-2.fna.fbcdn.net/v/t39.30808-6/785152256_1633749914777817_4088851682438988009_n.jpg?stp=dst-jpg_tt6&amp;cstp=mx1080x1350&amp;ctp=s1080x1350&amp;_nc_cat=105&amp;_nc_map=urlgen_bucketless&amp;ccb=1-7&amp;_nc_sid=833d8c&amp;_nc_ohc=bsJXbcaVrh8Q7kNvwGmms0U&amp;_nc_oc=Adr97xpMWAQaSSCLPH2o3YZqQYJ4NGcNyE1sjWq_5YLEUW-0htWavBq__lAX0z9wLMbZ7Y1I3pMupfLXnSp9qh6i&amp;_nc_zt=23&amp;_nc_ht=scontent.fgua2-2.fna&amp;_nc_gid=q2EC6LTOG4f7LylRxPSuOg&amp;_nc_ss=70100&amp;oh=00_AQEJ9idEAnX0PThIzz1Zsc70BrXuViOfS5s0Pbuix7QM9Q&amp;oe=6A92571E</x:t>
        </x:is>
      </x:c>
      <x:c t="inlineStr" r="BE106">
        <x:is>
          <x:t/>
        </x:is>
      </x:c>
      <x:c t="inlineStr" r="BF106">
        <x:is>
          <x:t>Não</x:t>
        </x:is>
      </x:c>
      <x:c t="inlineStr" r="BG106"/>
      <x:c t="inlineStr" r="BH106">
        <x:is>
          <x:t>Acontecimento</x:t>
        </x:is>
      </x:c>
      <x:c t="inlineStr" r="BI106">
        <x:is>
          <x:t>Giveaway,Promoção</x:t>
        </x:is>
      </x:c>
      <x:c t="inlineStr" r="BJ106">
        <x:is>
          <x:t>Ao resgatar seus ingressos de gramado pelo app KMV, você ainda ganha R$ 100 em vale-combustível</x:t>
        </x:is>
      </x:c>
      <x:c t="inlineStr" r="BK106">
        <x:is>
          <x:t>Franquia - Jet Oil,Franquia - AmPm,Ipimax,Ipiranga,App KMV,Rock In Rio</x:t>
        </x:is>
      </x:c>
      <x:c t="inlineStr" r="BL106"/>
      <x:c t="inlineStr" r="BM106"/>
      <x:c t="inlineStr" r="BN106"/>
      <x:c t="inlineStr" r="BO106"/>
      <x:c t="inlineStr" r="BP106"/>
      <x:c t="inlineStr" r="BQ106"/>
      <x:c t="inlineStr" r="BR106"/>
      <x:c t="inlineStr" r="BS106"/>
      <x:c t="inlineStr" r="BT106"/>
      <x:c t="inlineStr" r="BU106"/>
      <x:c t="inlineStr" r="BV106">
        <x:is>
          <x:t>Franquia - AmPm</x:t>
        </x:is>
      </x:c>
      <x:c t="inlineStr" r="BW106">
        <x:is>
          <x:t>Ipimax</x:t>
        </x:is>
      </x:c>
      <x:c t="inlineStr" r="BX106">
        <x:is>
          <x:t>Franquia - Jet Oil</x:t>
        </x:is>
      </x:c>
      <x:c t="inlineStr" r="BY106"/>
      <x:c t="inlineStr" r="BZ106">
        <x:is>
          <x:t>Ipiranga</x:t>
        </x:is>
      </x:c>
      <x:c t="inlineStr" r="CA106"/>
      <x:c t="inlineStr" r="CB106"/>
      <x:c t="inlineStr" r="CC106"/>
      <x:c t="inlineStr" r="CD106">
        <x:is>
          <x:t>App KMV</x:t>
        </x:is>
      </x:c>
      <x:c t="inlineStr" r="CE106">
        <x:is>
          <x:t>Rock In Rio</x:t>
        </x:is>
      </x:c>
      <x:c t="inlineStr" r="CF106"/>
    </x:row>
    <x:row r="107">
      <x:c t="n" r="A107">
        <x:v>4260640926</x:v>
      </x:c>
      <x:c t="inlineStr" r="B107">
        <x:is>
          <x:t>23.08.2026</x:t>
        </x:is>
      </x:c>
      <x:c t="inlineStr" r="C107">
        <x:is>
          <x:t>17:15</x:t>
        </x:is>
      </x:c>
      <x:c t="inlineStr" r="D107">
        <x:is>
          <x:t>23.08.2026 17:26</x:t>
        </x:is>
      </x:c>
      <x:c t="inlineStr" r="E107">
        <x:is>
          <x:t/>
        </x:is>
      </x:c>
      <x:c t="str" r="F107">
        <x:v>🎟️ Resgate seu ingresso de gramado pelo app KMV usando pontos + dinheiro e ainda ganhe R$ 100 em vale-combustível.
Depois é só fazer uma Parada Completa no Ipiranga e partir pro festival. ⛽🚗
#Ipiranga #KMV #RockinRio2026
Resgate aqui: https://www.ipiranga.com.br/wps/portal/pt-br/ipiranga/a-ipiranga/campanhas-e-acoes/promocoes-e-ofertas/rock-in-rio?utm_source=social&amp;utm_medium=organico&amp;utm_campaign=kmv&amp;utm_term=fandom&amp;utm_content=DTI</x:v>
      </x:c>
      <x:c t="inlineStr" r="G107">
        <x:is>
          <x:t/>
        </x:is>
      </x:c>
      <x:c t="inlineStr" r="H107"/>
      <x:c t="inlineStr" r="I107">
        <x:is>
          <x:t>Postar</x:t>
        </x:is>
      </x:c>
      <x:c t="inlineStr" r="J107">
        <x:is>
          <x:t>Imagem,Álbum,Texto</x:t>
        </x:is>
      </x:c>
      <x:c t="inlineStr" r="K107"/>
      <x:c r="L107">
        <x:f>HYPERLINK("https://x.com/A7xFVOficial/status/2091620302874612068")</x:f>
      </x:c>
      <x:c t="inlineStr" r="M107">
        <x:is>
          <x:t>Negativo</x:t>
        </x:is>
      </x:c>
      <x:c t="inlineStr" r="N107">
        <x:is>
          <x:t>A7x Frases &amp; Versos 🇧🇷</x:t>
        </x:is>
      </x:c>
      <x:c t="inlineStr" r="O107">
        <x:is>
          <x:t>A7xFVOficial</x:t>
        </x:is>
      </x:c>
      <x:c r="P107">
        <x:f>HYPERLINK("http://x.com/A7xFVOficial")</x:f>
      </x:c>
      <x:c t="n" r="Q107">
        <x:v>4202</x:v>
      </x:c>
      <x:c t="inlineStr" r="R107"/>
      <x:c t="inlineStr" r="S107"/>
      <x:c t="inlineStr" r="T107">
        <x:is>
          <x:t>x.com</x:t>
        </x:is>
      </x:c>
      <x:c t="inlineStr" r="U107"/>
      <x:c t="inlineStr" r="V107"/>
      <x:c t="inlineStr" r="W107"/>
      <x:c t="inlineStr" r="X107"/>
      <x:c t="inlineStr" r="Y107">
        <x:is>
          <x:t>Rede social</x:t>
        </x:is>
      </x:c>
      <x:c t="inlineStr" r="Z107">
        <x:is>
          <x:t>Português</x:t>
        </x:is>
      </x:c>
      <x:c t="inlineStr" r="AA107">
        <x:is>
          <x:t>Brasil</x:t>
        </x:is>
      </x:c>
      <x:c t="inlineStr" r="AB107"/>
      <x:c t="inlineStr" r="AC107"/>
      <x:c t="inlineStr" r="AD107"/>
      <x:c t="n" r="AE107">
        <x:v>2</x:v>
      </x:c>
      <x:c t="n" r="AF107">
        <x:v>3</x:v>
      </x:c>
      <x:c t="n" r="AG107">
        <x:v>2</x:v>
      </x:c>
      <x:c t="inlineStr" r="AH107"/>
      <x:c t="inlineStr" r="AI107"/>
      <x:c t="inlineStr" r="AJ107"/>
      <x:c t="inlineStr" r="AK107"/>
      <x:c t="inlineStr" r="AL107"/>
      <x:c t="inlineStr" r="AM107"/>
      <x:c t="inlineStr" r="AN107"/>
      <x:c t="inlineStr" r="AO107"/>
      <x:c t="n" r="AP107">
        <x:v>1</x:v>
      </x:c>
      <x:c t="n" r="AQ107">
        <x:v>297</x:v>
      </x:c>
      <x:c t="inlineStr" r="AR107"/>
      <x:c t="inlineStr" r="AS107"/>
      <x:c t="inlineStr" r="AT107"/>
      <x:c t="n" r="AU107">
        <x:v>4202</x:v>
      </x:c>
      <x:c t="inlineStr" r="AV107"/>
      <x:c t="inlineStr" r="AW107">
        <x:is>
          <x:t/>
        </x:is>
      </x:c>
      <x:c t="inlineStr" r="AX107">
        <x:is>
          <x:t>text,poster</x:t>
        </x:is>
      </x:c>
      <x:c t="inlineStr" r="AY107">
        <x:is>
          <x:t/>
        </x:is>
      </x:c>
      <x:c t="inlineStr" r="AZ107">
        <x:is>
          <x:t/>
        </x:is>
      </x:c>
      <x:c t="inlineStr" r="BA107">
        <x:is>
          <x:t/>
        </x:is>
      </x:c>
      <x:c t="inlineStr" r="BB107">
        <x:is>
          <x:t>ILLUSTRATION</x:t>
        </x:is>
      </x:c>
      <x:c t="inlineStr" r="BC107">
        <x:is>
          <x:t>advertising</x:t>
        </x:is>
      </x:c>
      <x:c r="BD107">
        <x:f>HYPERLINK("https://pbs.twimg.com/media/HQbtdvgW4AENvFY.jpg")</x:f>
      </x:c>
      <x:c t="inlineStr" r="BE107">
        <x:is>
          <x:t/>
        </x:is>
      </x:c>
      <x:c t="inlineStr" r="BF107">
        <x:is>
          <x:t>Não</x:t>
        </x:is>
      </x:c>
      <x:c t="inlineStr" r="BG107"/>
      <x:c t="inlineStr" r="BH107">
        <x:is>
          <x:t/>
        </x:is>
      </x:c>
      <x:c t="inlineStr" r="BI107">
        <x:is>
          <x:t>Giveaway</x:t>
        </x:is>
      </x:c>
      <x:c t="inlineStr" r="BJ107"/>
      <x:c t="inlineStr" r="BK107">
        <x:is>
          <x:t>Campanha: Parada Completa,Ipiranga,App KMV,Rock In Rio</x:t>
        </x:is>
      </x:c>
      <x:c t="inlineStr" r="BL107"/>
      <x:c t="inlineStr" r="BM107"/>
      <x:c t="inlineStr" r="BN107"/>
      <x:c t="inlineStr" r="BO107"/>
      <x:c t="inlineStr" r="BP107"/>
      <x:c t="inlineStr" r="BQ107"/>
      <x:c t="inlineStr" r="BR107"/>
      <x:c t="inlineStr" r="BS107"/>
      <x:c t="inlineStr" r="BT107"/>
      <x:c t="inlineStr" r="BU107"/>
      <x:c t="inlineStr" r="BV107"/>
      <x:c t="inlineStr" r="BW107"/>
      <x:c t="inlineStr" r="BX107"/>
      <x:c t="inlineStr" r="BY107">
        <x:is>
          <x:t>Campanha: Parada Completa</x:t>
        </x:is>
      </x:c>
      <x:c t="inlineStr" r="BZ107">
        <x:is>
          <x:t>Ipiranga</x:t>
        </x:is>
      </x:c>
      <x:c t="inlineStr" r="CA107"/>
      <x:c t="inlineStr" r="CB107"/>
      <x:c t="inlineStr" r="CC107"/>
      <x:c t="inlineStr" r="CD107">
        <x:is>
          <x:t>App KMV</x:t>
        </x:is>
      </x:c>
      <x:c t="inlineStr" r="CE107">
        <x:is>
          <x:t>Rock In Rio</x:t>
        </x:is>
      </x:c>
      <x:c t="inlineStr" r="CF107"/>
    </x:row>
    <x:row r="108">
      <x:c t="n" r="A108">
        <x:v>2382892098</x:v>
      </x:c>
      <x:c t="inlineStr" r="B108">
        <x:is>
          <x:t>23.08.2026</x:t>
        </x:is>
      </x:c>
      <x:c t="inlineStr" r="C108">
        <x:is>
          <x:t>17:12</x:t>
        </x:is>
      </x:c>
      <x:c t="inlineStr" r="D108">
        <x:is>
          <x:t>26.08.2026 14:42</x:t>
        </x:is>
      </x:c>
      <x:c t="inlineStr" r="E108">
        <x:is>
          <x:t/>
        </x:is>
      </x:c>
      <x:c t="str" r="F108">
        <x:v>🎤 Tem show que você assiste. O deles você vive do começo ao fim.
🎟️ Os ingressos já estão disponíveis no app KMV. Resgate usando pontos + dinheiro e ainda ganhe R$ 100 em vale-combustível.
Complete o caminho com uma Parada Completa no Posto Ipiranga e prepare-se para o Rock in Rio Brasil 2026.
#Ipiranga #KMV #RockinRio2026</x:v>
      </x:c>
      <x:c t="inlineStr" r="G108">
        <x:is>
          <x:t/>
        </x:is>
      </x:c>
      <x:c t="inlineStr" r="H108"/>
      <x:c t="inlineStr" r="I108">
        <x:is>
          <x:t>Repost</x:t>
        </x:is>
      </x:c>
      <x:c t="inlineStr" r="J108">
        <x:is>
          <x:t>Imagem,Álbum,Texto</x:t>
        </x:is>
      </x:c>
      <x:c t="inlineStr" r="K108"/>
      <x:c r="L108">
        <x:f>HYPERLINK("https://x.com/clancyskz/status/2091619491830509984")</x:f>
      </x:c>
      <x:c t="inlineStr" r="M108">
        <x:is>
          <x:t>Negativo</x:t>
        </x:is>
      </x:c>
      <x:c t="inlineStr" r="N108">
        <x:is>
          <x:t>gigi</x:t>
        </x:is>
      </x:c>
      <x:c t="inlineStr" r="O108">
        <x:is>
          <x:t>clancyskz</x:t>
        </x:is>
      </x:c>
      <x:c r="P108">
        <x:f>HYPERLINK("http://x.com/clancyskz")</x:f>
      </x:c>
      <x:c t="n" r="Q108">
        <x:v>446</x:v>
      </x:c>
      <x:c t="inlineStr" r="R108"/>
      <x:c t="inlineStr" r="S108"/>
      <x:c t="inlineStr" r="T108">
        <x:is>
          <x:t>x.com</x:t>
        </x:is>
      </x:c>
      <x:c t="inlineStr" r="U108"/>
      <x:c t="inlineStr" r="V108"/>
      <x:c t="inlineStr" r="W108"/>
      <x:c t="inlineStr" r="X108"/>
      <x:c t="inlineStr" r="Y108">
        <x:is>
          <x:t>Rede social</x:t>
        </x:is>
      </x:c>
      <x:c t="inlineStr" r="Z108">
        <x:is>
          <x:t>Português</x:t>
        </x:is>
      </x:c>
      <x:c t="inlineStr" r="AA108">
        <x:is>
          <x:t>Brasil</x:t>
        </x:is>
      </x:c>
      <x:c t="inlineStr" r="AB108"/>
      <x:c t="inlineStr" r="AC108"/>
      <x:c t="inlineStr" r="AD108"/>
      <x:c t="inlineStr" r="AE108"/>
      <x:c t="n" r="AF108">
        <x:v>0</x:v>
      </x:c>
      <x:c t="inlineStr" r="AG108"/>
      <x:c t="inlineStr" r="AH108"/>
      <x:c t="inlineStr" r="AI108"/>
      <x:c t="inlineStr" r="AJ108"/>
      <x:c t="inlineStr" r="AK108"/>
      <x:c t="inlineStr" r="AL108"/>
      <x:c t="inlineStr" r="AM108"/>
      <x:c t="inlineStr" r="AN108"/>
      <x:c t="inlineStr" r="AO108"/>
      <x:c t="inlineStr" r="AP108"/>
      <x:c t="inlineStr" r="AQ108"/>
      <x:c t="inlineStr" r="AR108"/>
      <x:c t="inlineStr" r="AS108"/>
      <x:c t="inlineStr" r="AT108"/>
      <x:c t="n" r="AU108">
        <x:v>446</x:v>
      </x:c>
      <x:c t="inlineStr" r="AV108"/>
      <x:c t="inlineStr" r="AW108">
        <x:is>
          <x:t/>
        </x:is>
      </x:c>
      <x:c t="inlineStr" r="AX108">
        <x:is>
          <x:t>text,poster</x:t>
        </x:is>
      </x:c>
      <x:c t="inlineStr" r="AY108">
        <x:is>
          <x:t/>
        </x:is>
      </x:c>
      <x:c t="inlineStr" r="AZ108">
        <x:is>
          <x:t/>
        </x:is>
      </x:c>
      <x:c t="inlineStr" r="BA108">
        <x:is>
          <x:t/>
        </x:is>
      </x:c>
      <x:c t="inlineStr" r="BB108">
        <x:is>
          <x:t>ILLUSTRATION</x:t>
        </x:is>
      </x:c>
      <x:c t="inlineStr" r="BC108">
        <x:is>
          <x:t>advertising</x:t>
        </x:is>
      </x:c>
      <x:c r="BD108">
        <x:f>HYPERLINK("https://pbs.twimg.com/media/HQbqs9kXYAARZvA.jpg")</x:f>
      </x:c>
      <x:c t="inlineStr" r="BE108">
        <x:is>
          <x:t/>
        </x:is>
      </x:c>
      <x:c t="inlineStr" r="BF108">
        <x:is>
          <x:t>Não</x:t>
        </x:is>
      </x:c>
      <x:c t="inlineStr" r="BG108"/>
      <x:c t="inlineStr" r="BH108">
        <x:is>
          <x:t/>
        </x:is>
      </x:c>
      <x:c t="inlineStr" r="BI108">
        <x:is>
          <x:t>Giveaway</x:t>
        </x:is>
      </x:c>
      <x:c t="inlineStr" r="BJ108"/>
      <x:c t="inlineStr" r="BK108">
        <x:is>
          <x:t>Campanha: Parada Completa,Ipiranga,App KMV,Rock In Rio</x:t>
        </x:is>
      </x:c>
      <x:c t="inlineStr" r="BL108"/>
      <x:c t="inlineStr" r="BM108"/>
      <x:c t="inlineStr" r="BN108"/>
      <x:c t="inlineStr" r="BO108"/>
      <x:c t="inlineStr" r="BP108"/>
      <x:c t="inlineStr" r="BQ108"/>
      <x:c t="inlineStr" r="BR108"/>
      <x:c t="inlineStr" r="BS108"/>
      <x:c t="inlineStr" r="BT108"/>
      <x:c t="inlineStr" r="BU108"/>
      <x:c t="inlineStr" r="BV108"/>
      <x:c t="inlineStr" r="BW108"/>
      <x:c t="inlineStr" r="BX108"/>
      <x:c t="inlineStr" r="BY108">
        <x:is>
          <x:t>Campanha: Parada Completa</x:t>
        </x:is>
      </x:c>
      <x:c t="inlineStr" r="BZ108">
        <x:is>
          <x:t>Ipiranga</x:t>
        </x:is>
      </x:c>
      <x:c t="inlineStr" r="CA108"/>
      <x:c t="inlineStr" r="CB108"/>
      <x:c t="inlineStr" r="CC108"/>
      <x:c t="inlineStr" r="CD108">
        <x:is>
          <x:t>App KMV</x:t>
        </x:is>
      </x:c>
      <x:c t="inlineStr" r="CE108">
        <x:is>
          <x:t>Rock In Rio</x:t>
        </x:is>
      </x:c>
      <x:c t="inlineStr" r="CF108"/>
    </x:row>
    <x:row r="109">
      <x:c t="n" r="A109">
        <x:v>4272736659</x:v>
      </x:c>
      <x:c t="inlineStr" r="B109">
        <x:is>
          <x:t>23.08.2026</x:t>
        </x:is>
      </x:c>
      <x:c t="inlineStr" r="C109">
        <x:is>
          <x:t>17:09</x:t>
        </x:is>
      </x:c>
      <x:c t="inlineStr" r="D109">
        <x:is>
          <x:t>26.08.2026 22:53</x:t>
        </x:is>
      </x:c>
      <x:c t="inlineStr" r="E109">
        <x:is>
          <x:t/>
        </x:is>
      </x:c>
      <x:c t="str" r="F109">
        <x:v>🎤 O seu lugar no Rock in Rio Brasil 2026 começa no app KMV.
🎟️ Resgate seu ingresso de gramado pelo app KMV usando seus pontos + dinheiro e ainda ganhe R$ 100 em vale-combustível.
#Ipiranga #KMV #RockinRio2026</x:v>
      </x:c>
      <x:c t="inlineStr" r="G109">
        <x:is>
          <x:t/>
        </x:is>
      </x:c>
      <x:c t="inlineStr" r="H109"/>
      <x:c t="inlineStr" r="I109">
        <x:is>
          <x:t>Repost</x:t>
        </x:is>
      </x:c>
      <x:c t="inlineStr" r="J109">
        <x:is>
          <x:t>Imagem,Texto</x:t>
        </x:is>
      </x:c>
      <x:c t="inlineStr" r="K109"/>
      <x:c r="L109">
        <x:f>HYPERLINK("https://x.com/vicmanequim/status/2091618972638519337")</x:f>
      </x:c>
      <x:c t="inlineStr" r="M109">
        <x:is>
          <x:t>Negativo</x:t>
        </x:is>
      </x:c>
      <x:c t="inlineStr" r="N109">
        <x:is>
          <x:t>João Vitor</x:t>
        </x:is>
      </x:c>
      <x:c t="inlineStr" r="O109">
        <x:is>
          <x:t>vicmanequim</x:t>
        </x:is>
      </x:c>
      <x:c r="P109">
        <x:f>HYPERLINK("http://x.com/vicmanequim")</x:f>
      </x:c>
      <x:c t="n" r="Q109">
        <x:v>2065</x:v>
      </x:c>
      <x:c t="inlineStr" r="R109">
        <x:is>
          <x:t>Homem</x:t>
        </x:is>
      </x:c>
      <x:c t="inlineStr" r="S109"/>
      <x:c t="inlineStr" r="T109">
        <x:is>
          <x:t>x.com</x:t>
        </x:is>
      </x:c>
      <x:c t="inlineStr" r="U109"/>
      <x:c t="inlineStr" r="V109"/>
      <x:c t="inlineStr" r="W109"/>
      <x:c t="inlineStr" r="X109"/>
      <x:c t="inlineStr" r="Y109">
        <x:is>
          <x:t>Rede social</x:t>
        </x:is>
      </x:c>
      <x:c t="inlineStr" r="Z109">
        <x:is>
          <x:t>Português</x:t>
        </x:is>
      </x:c>
      <x:c t="inlineStr" r="AA109">
        <x:is>
          <x:t>Brasil</x:t>
        </x:is>
      </x:c>
      <x:c t="inlineStr" r="AB109">
        <x:is>
          <x:t>São Paulo</x:t>
        </x:is>
      </x:c>
      <x:c t="inlineStr" r="AC109"/>
      <x:c t="inlineStr" r="AD109"/>
      <x:c t="inlineStr" r="AE109"/>
      <x:c t="n" r="AF109">
        <x:v>0</x:v>
      </x:c>
      <x:c t="inlineStr" r="AG109"/>
      <x:c t="inlineStr" r="AH109"/>
      <x:c t="inlineStr" r="AI109"/>
      <x:c t="inlineStr" r="AJ109"/>
      <x:c t="inlineStr" r="AK109"/>
      <x:c t="inlineStr" r="AL109"/>
      <x:c t="inlineStr" r="AM109"/>
      <x:c t="inlineStr" r="AN109"/>
      <x:c t="inlineStr" r="AO109"/>
      <x:c t="inlineStr" r="AP109"/>
      <x:c t="inlineStr" r="AQ109"/>
      <x:c t="inlineStr" r="AR109"/>
      <x:c t="inlineStr" r="AS109"/>
      <x:c t="inlineStr" r="AT109"/>
      <x:c t="n" r="AU109">
        <x:v>2065</x:v>
      </x:c>
      <x:c t="inlineStr" r="AV109"/>
      <x:c t="inlineStr" r="AW109">
        <x:is>
          <x:t>Ipiranga</x:t>
        </x:is>
      </x:c>
      <x:c t="inlineStr" r="AX109">
        <x:is>
          <x:t>text,poster</x:t>
        </x:is>
      </x:c>
      <x:c t="inlineStr" r="AY109">
        <x:is>
          <x:t/>
        </x:is>
      </x:c>
      <x:c t="inlineStr" r="AZ109">
        <x:is>
          <x:t/>
        </x:is>
      </x:c>
      <x:c t="inlineStr" r="BA109">
        <x:is>
          <x:t/>
        </x:is>
      </x:c>
      <x:c t="inlineStr" r="BB109">
        <x:is>
          <x:t>ILLUSTRATION</x:t>
        </x:is>
      </x:c>
      <x:c t="inlineStr" r="BC109">
        <x:is>
          <x:t>advertising</x:t>
        </x:is>
      </x:c>
      <x:c r="BD109">
        <x:f>HYPERLINK("https://pbs.twimg.com/media/HQbqIDlWIAEdyxE.jpg")</x:f>
      </x:c>
      <x:c t="inlineStr" r="BE109">
        <x:is>
          <x:t/>
        </x:is>
      </x:c>
      <x:c t="inlineStr" r="BF109">
        <x:is>
          <x:t>Não</x:t>
        </x:is>
      </x:c>
      <x:c t="inlineStr" r="BG109"/>
      <x:c t="inlineStr" r="BH109">
        <x:is>
          <x:t/>
        </x:is>
      </x:c>
      <x:c t="inlineStr" r="BI109">
        <x:is>
          <x:t>Promoção</x:t>
        </x:is>
      </x:c>
      <x:c t="inlineStr" r="BJ109"/>
      <x:c t="inlineStr" r="BK109">
        <x:is>
          <x:t>Ipiranga,App KMV,Rock In Rio</x:t>
        </x:is>
      </x:c>
      <x:c t="inlineStr" r="BL109"/>
      <x:c t="inlineStr" r="BM109"/>
      <x:c t="inlineStr" r="BN109"/>
      <x:c t="inlineStr" r="BO109"/>
      <x:c t="inlineStr" r="BP109"/>
      <x:c t="inlineStr" r="BQ109"/>
      <x:c t="inlineStr" r="BR109"/>
      <x:c t="inlineStr" r="BS109"/>
      <x:c t="inlineStr" r="BT109"/>
      <x:c t="inlineStr" r="BU109"/>
      <x:c t="inlineStr" r="BV109"/>
      <x:c t="inlineStr" r="BW109"/>
      <x:c t="inlineStr" r="BX109"/>
      <x:c t="inlineStr" r="BY109"/>
      <x:c t="inlineStr" r="BZ109">
        <x:is>
          <x:t>Ipiranga</x:t>
        </x:is>
      </x:c>
      <x:c t="inlineStr" r="CA109"/>
      <x:c t="inlineStr" r="CB109"/>
      <x:c t="inlineStr" r="CC109"/>
      <x:c t="inlineStr" r="CD109">
        <x:is>
          <x:t>App KMV</x:t>
        </x:is>
      </x:c>
      <x:c t="inlineStr" r="CE109">
        <x:is>
          <x:t>Rock In Rio</x:t>
        </x:is>
      </x:c>
      <x:c t="inlineStr" r="CF109"/>
    </x:row>
    <x:row r="110">
      <x:c t="n" r="A110">
        <x:v>2374104934</x:v>
      </x:c>
      <x:c t="inlineStr" r="B110">
        <x:is>
          <x:t>23.08.2026</x:t>
        </x:is>
      </x:c>
      <x:c t="inlineStr" r="C110">
        <x:is>
          <x:t>17:02</x:t>
        </x:is>
      </x:c>
      <x:c t="inlineStr" r="D110">
        <x:is>
          <x:t>27.08.2026 10:07</x:t>
        </x:is>
      </x:c>
      <x:c t="inlineStr" r="E110">
        <x:is>
          <x:t/>
        </x:is>
      </x:c>
      <x:c t="str" r="F110">
        <x:v>🎤 Tem show que você assiste. O deles você vive do começo ao fim.
🎟️ Os ingressos já estão disponíveis no app KMV. Resgate usando pontos + dinheiro e ainda ganhe R$ 100 em vale-combustível.
Complete o caminho com uma Parada Completa no Posto Ipiranga e prepare-se para o Rock in Rio Brasil 2026.
#Ipiranga #KMV #RockinRio2026</x:v>
      </x:c>
      <x:c t="inlineStr" r="G110">
        <x:is>
          <x:t/>
        </x:is>
      </x:c>
      <x:c t="inlineStr" r="H110"/>
      <x:c t="inlineStr" r="I110">
        <x:is>
          <x:t>Postar</x:t>
        </x:is>
      </x:c>
      <x:c t="inlineStr" r="J110">
        <x:is>
          <x:t>Imagem,Álbum,Texto</x:t>
        </x:is>
      </x:c>
      <x:c t="inlineStr" r="K110">
        <x:is>
          <x:t>TwitterNote</x:t>
        </x:is>
      </x:c>
      <x:c r="L110">
        <x:f>HYPERLINK("https://x.com/spookycliquebr/status/2091617173382795739")</x:f>
      </x:c>
      <x:c t="inlineStr" r="M110">
        <x:is>
          <x:t>Negativo</x:t>
        </x:is>
      </x:c>
      <x:c t="inlineStr" r="N110">
        <x:is>
          <x:t>spooky clique Brasil</x:t>
        </x:is>
      </x:c>
      <x:c t="inlineStr" r="O110">
        <x:is>
          <x:t>spookycliquebr</x:t>
        </x:is>
      </x:c>
      <x:c r="P110">
        <x:f>HYPERLINK("http://x.com/spookycliquebr")</x:f>
      </x:c>
      <x:c t="n" r="Q110">
        <x:v>31684</x:v>
      </x:c>
      <x:c t="inlineStr" r="R110"/>
      <x:c t="inlineStr" r="S110"/>
      <x:c t="inlineStr" r="T110">
        <x:is>
          <x:t>x.com</x:t>
        </x:is>
      </x:c>
      <x:c t="inlineStr" r="U110"/>
      <x:c t="inlineStr" r="V110"/>
      <x:c t="inlineStr" r="W110"/>
      <x:c t="inlineStr" r="X110"/>
      <x:c t="inlineStr" r="Y110">
        <x:is>
          <x:t>Rede social</x:t>
        </x:is>
      </x:c>
      <x:c t="inlineStr" r="Z110">
        <x:is>
          <x:t>Português</x:t>
        </x:is>
      </x:c>
      <x:c t="inlineStr" r="AA110">
        <x:is>
          <x:t>Brasil</x:t>
        </x:is>
      </x:c>
      <x:c t="inlineStr" r="AB110"/>
      <x:c t="inlineStr" r="AC110"/>
      <x:c t="inlineStr" r="AD110"/>
      <x:c t="n" r="AE110">
        <x:v>22</x:v>
      </x:c>
      <x:c t="n" r="AF110">
        <x:v>23</x:v>
      </x:c>
      <x:c t="n" r="AG110">
        <x:v>22</x:v>
      </x:c>
      <x:c t="inlineStr" r="AH110"/>
      <x:c t="inlineStr" r="AI110"/>
      <x:c t="inlineStr" r="AJ110"/>
      <x:c t="inlineStr" r="AK110"/>
      <x:c t="inlineStr" r="AL110"/>
      <x:c t="inlineStr" r="AM110"/>
      <x:c t="inlineStr" r="AN110"/>
      <x:c t="inlineStr" r="AO110"/>
      <x:c t="n" r="AP110">
        <x:v>1</x:v>
      </x:c>
      <x:c t="n" r="AQ110">
        <x:v>2336</x:v>
      </x:c>
      <x:c t="inlineStr" r="AR110"/>
      <x:c t="inlineStr" r="AS110"/>
      <x:c t="n" r="AT110">
        <x:v>3</x:v>
      </x:c>
      <x:c t="n" r="AU110">
        <x:v>31684</x:v>
      </x:c>
      <x:c t="inlineStr" r="AV110"/>
      <x:c t="inlineStr" r="AW110">
        <x:is>
          <x:t/>
        </x:is>
      </x:c>
      <x:c t="inlineStr" r="AX110">
        <x:is>
          <x:t>text,poster</x:t>
        </x:is>
      </x:c>
      <x:c t="inlineStr" r="AY110">
        <x:is>
          <x:t/>
        </x:is>
      </x:c>
      <x:c t="inlineStr" r="AZ110">
        <x:is>
          <x:t/>
        </x:is>
      </x:c>
      <x:c t="inlineStr" r="BA110">
        <x:is>
          <x:t/>
        </x:is>
      </x:c>
      <x:c t="inlineStr" r="BB110">
        <x:is>
          <x:t>ILLUSTRATION</x:t>
        </x:is>
      </x:c>
      <x:c t="inlineStr" r="BC110">
        <x:is>
          <x:t>advertising</x:t>
        </x:is>
      </x:c>
      <x:c r="BD110">
        <x:f>HYPERLINK("https://pbs.twimg.com/media/HQbqs9kXYAARZvA.jpg")</x:f>
      </x:c>
      <x:c t="inlineStr" r="BE110">
        <x:is>
          <x:t/>
        </x:is>
      </x:c>
      <x:c t="inlineStr" r="BF110">
        <x:is>
          <x:t>Não</x:t>
        </x:is>
      </x:c>
      <x:c t="inlineStr" r="BG110"/>
      <x:c t="inlineStr" r="BH110">
        <x:is>
          <x:t/>
        </x:is>
      </x:c>
      <x:c t="inlineStr" r="BI110">
        <x:is>
          <x:t>Promoção</x:t>
        </x:is>
      </x:c>
      <x:c t="inlineStr" r="BJ110"/>
      <x:c t="inlineStr" r="BK110">
        <x:is>
          <x:t>Campanha: Parada Completa,Ipiranga,App KMV,Rock In Rio</x:t>
        </x:is>
      </x:c>
      <x:c t="inlineStr" r="BL110"/>
      <x:c t="inlineStr" r="BM110"/>
      <x:c t="inlineStr" r="BN110"/>
      <x:c t="inlineStr" r="BO110"/>
      <x:c t="inlineStr" r="BP110"/>
      <x:c t="inlineStr" r="BQ110"/>
      <x:c t="inlineStr" r="BR110"/>
      <x:c t="inlineStr" r="BS110"/>
      <x:c t="inlineStr" r="BT110"/>
      <x:c t="inlineStr" r="BU110"/>
      <x:c t="inlineStr" r="BV110"/>
      <x:c t="inlineStr" r="BW110"/>
      <x:c t="inlineStr" r="BX110"/>
      <x:c t="inlineStr" r="BY110">
        <x:is>
          <x:t>Campanha: Parada Completa</x:t>
        </x:is>
      </x:c>
      <x:c t="inlineStr" r="BZ110">
        <x:is>
          <x:t>Ipiranga</x:t>
        </x:is>
      </x:c>
      <x:c t="inlineStr" r="CA110"/>
      <x:c t="inlineStr" r="CB110"/>
      <x:c t="inlineStr" r="CC110"/>
      <x:c t="inlineStr" r="CD110">
        <x:is>
          <x:t>App KMV</x:t>
        </x:is>
      </x:c>
      <x:c t="inlineStr" r="CE110">
        <x:is>
          <x:t>Rock In Rio</x:t>
        </x:is>
      </x:c>
      <x:c t="inlineStr" r="CF110"/>
    </x:row>
    <x:row r="111">
      <x:c t="n" r="A111">
        <x:v>4237704409</x:v>
      </x:c>
      <x:c t="inlineStr" r="B111">
        <x:is>
          <x:t>23.08.2026</x:t>
        </x:is>
      </x:c>
      <x:c t="inlineStr" r="C111">
        <x:is>
          <x:t>17:00</x:t>
        </x:is>
      </x:c>
      <x:c t="inlineStr" r="D111">
        <x:is>
          <x:t>26.08.2026 09:19</x:t>
        </x:is>
      </x:c>
      <x:c t="inlineStr" r="E111">
        <x:is>
          <x:t/>
        </x:is>
      </x:c>
      <x:c t="str" r="F111">
        <x:v>🎤 O seu lugar no Rock in Rio Brasil 2026 começa no app KMV.
🎟️ Resgate seu ingresso de gramado pelo app KMV usando seus pontos + dinheiro e ainda ganhe R$ 100 em vale-combustível.
#Ipiranga #KMV #RockinRio2026</x:v>
      </x:c>
      <x:c t="inlineStr" r="G111">
        <x:is>
          <x:t/>
        </x:is>
      </x:c>
      <x:c t="inlineStr" r="H111"/>
      <x:c t="inlineStr" r="I111">
        <x:is>
          <x:t>Postar</x:t>
        </x:is>
      </x:c>
      <x:c t="inlineStr" r="J111">
        <x:is>
          <x:t>Imagem,Texto</x:t>
        </x:is>
      </x:c>
      <x:c t="inlineStr" r="K111"/>
      <x:c r="L111">
        <x:f>HYPERLINK("https://x.com/missluisasonza/status/2091616506874351799")</x:f>
      </x:c>
      <x:c t="inlineStr" r="M111">
        <x:is>
          <x:t>Negativo</x:t>
        </x:is>
      </x:c>
      <x:c t="inlineStr" r="N111">
        <x:is>
          <x:t>MLS</x:t>
        </x:is>
      </x:c>
      <x:c t="inlineStr" r="O111">
        <x:is>
          <x:t>missluisasonza</x:t>
        </x:is>
      </x:c>
      <x:c r="P111">
        <x:f>HYPERLINK("http://x.com/missluisasonza")</x:f>
      </x:c>
      <x:c t="n" r="Q111">
        <x:v>769</x:v>
      </x:c>
      <x:c t="inlineStr" r="R111"/>
      <x:c t="inlineStr" r="S111"/>
      <x:c t="inlineStr" r="T111">
        <x:is>
          <x:t>x.com</x:t>
        </x:is>
      </x:c>
      <x:c t="inlineStr" r="U111"/>
      <x:c t="inlineStr" r="V111"/>
      <x:c t="inlineStr" r="W111"/>
      <x:c t="inlineStr" r="X111"/>
      <x:c t="inlineStr" r="Y111">
        <x:is>
          <x:t>Rede social</x:t>
        </x:is>
      </x:c>
      <x:c t="inlineStr" r="Z111">
        <x:is>
          <x:t>Português</x:t>
        </x:is>
      </x:c>
      <x:c t="inlineStr" r="AA111">
        <x:is>
          <x:t>Brasil</x:t>
        </x:is>
      </x:c>
      <x:c t="inlineStr" r="AB111">
        <x:is>
          <x:t>São Paulo</x:t>
        </x:is>
      </x:c>
      <x:c t="inlineStr" r="AC111"/>
      <x:c t="inlineStr" r="AD111"/>
      <x:c t="n" r="AE111">
        <x:v>7</x:v>
      </x:c>
      <x:c t="n" r="AF111">
        <x:v>10</x:v>
      </x:c>
      <x:c t="n" r="AG111">
        <x:v>7</x:v>
      </x:c>
      <x:c t="inlineStr" r="AH111"/>
      <x:c t="inlineStr" r="AI111"/>
      <x:c t="inlineStr" r="AJ111"/>
      <x:c t="inlineStr" r="AK111"/>
      <x:c t="inlineStr" r="AL111"/>
      <x:c t="inlineStr" r="AM111"/>
      <x:c t="inlineStr" r="AN111"/>
      <x:c t="n" r="AO111">
        <x:v>2</x:v>
      </x:c>
      <x:c t="n" r="AP111">
        <x:v>1</x:v>
      </x:c>
      <x:c t="n" r="AQ111">
        <x:v>271</x:v>
      </x:c>
      <x:c t="inlineStr" r="AR111"/>
      <x:c t="inlineStr" r="AS111"/>
      <x:c t="inlineStr" r="AT111"/>
      <x:c t="n" r="AU111">
        <x:v>769</x:v>
      </x:c>
      <x:c t="inlineStr" r="AV111"/>
      <x:c t="inlineStr" r="AW111">
        <x:is>
          <x:t>Ipiranga</x:t>
        </x:is>
      </x:c>
      <x:c t="inlineStr" r="AX111">
        <x:is>
          <x:t>text,poster</x:t>
        </x:is>
      </x:c>
      <x:c t="inlineStr" r="AY111">
        <x:is>
          <x:t/>
        </x:is>
      </x:c>
      <x:c t="inlineStr" r="AZ111">
        <x:is>
          <x:t/>
        </x:is>
      </x:c>
      <x:c t="inlineStr" r="BA111">
        <x:is>
          <x:t/>
        </x:is>
      </x:c>
      <x:c t="inlineStr" r="BB111">
        <x:is>
          <x:t>ILLUSTRATION</x:t>
        </x:is>
      </x:c>
      <x:c t="inlineStr" r="BC111">
        <x:is>
          <x:t>advertising</x:t>
        </x:is>
      </x:c>
      <x:c r="BD111">
        <x:f>HYPERLINK("https://pbs.twimg.com/media/HQbqIDlWIAEdyxE.jpg")</x:f>
      </x:c>
      <x:c t="inlineStr" r="BE111">
        <x:is>
          <x:t/>
        </x:is>
      </x:c>
      <x:c t="inlineStr" r="BF111">
        <x:is>
          <x:t>Não</x:t>
        </x:is>
      </x:c>
      <x:c t="inlineStr" r="BG111"/>
      <x:c t="inlineStr" r="BH111">
        <x:is>
          <x:t/>
        </x:is>
      </x:c>
      <x:c t="inlineStr" r="BI111">
        <x:is>
          <x:t>Promoção</x:t>
        </x:is>
      </x:c>
      <x:c t="inlineStr" r="BJ111">
        <x:is>
          <x:t>Ao resgatar seus ingressos de gramado pelo app KMV, você ainda ganha R$ 100 em vale-combustível</x:t>
        </x:is>
      </x:c>
      <x:c t="inlineStr" r="BK111">
        <x:is>
          <x:t>Ipiranga,App KMV,Rock In Rio</x:t>
        </x:is>
      </x:c>
      <x:c t="inlineStr" r="BL111"/>
      <x:c t="inlineStr" r="BM111"/>
      <x:c t="inlineStr" r="BN111"/>
      <x:c t="inlineStr" r="BO111"/>
      <x:c t="inlineStr" r="BP111"/>
      <x:c t="inlineStr" r="BQ111"/>
      <x:c t="inlineStr" r="BR111"/>
      <x:c t="inlineStr" r="BS111"/>
      <x:c t="inlineStr" r="BT111"/>
      <x:c t="inlineStr" r="BU111"/>
      <x:c t="inlineStr" r="BV111"/>
      <x:c t="inlineStr" r="BW111"/>
      <x:c t="inlineStr" r="BX111"/>
      <x:c t="inlineStr" r="BY111"/>
      <x:c t="inlineStr" r="BZ111">
        <x:is>
          <x:t>Ipiranga</x:t>
        </x:is>
      </x:c>
      <x:c t="inlineStr" r="CA111"/>
      <x:c t="inlineStr" r="CB111"/>
      <x:c t="inlineStr" r="CC111"/>
      <x:c t="inlineStr" r="CD111">
        <x:is>
          <x:t>App KMV</x:t>
        </x:is>
      </x:c>
      <x:c t="inlineStr" r="CE111">
        <x:is>
          <x:t>Rock In Rio</x:t>
        </x:is>
      </x:c>
      <x:c t="inlineStr" r="CF111"/>
    </x:row>
    <x:row r="112">
      <x:c t="n" r="A112">
        <x:v>55861813</x:v>
      </x:c>
      <x:c t="inlineStr" r="B112">
        <x:is>
          <x:t>23.08.2026</x:t>
        </x:is>
      </x:c>
      <x:c t="inlineStr" r="C112">
        <x:is>
          <x:t>17:00</x:t>
        </x:is>
      </x:c>
      <x:c t="inlineStr" r="D112">
        <x:is>
          <x:t>24.08.2026 03:24</x:t>
        </x:is>
      </x:c>
      <x:c t="inlineStr" r="E112">
        <x:is>
          <x:t/>
        </x:is>
      </x:c>
      <x:c t="str" r="F112">
        <x:v>🎟️ Os ingressos de gramado para já estão disponíveis no app KMV. Resgate o seu usando pontos + dinheiro e ainda ganhe R$ 100 em vale-combustível.
Depois, é só fazer uma Parada Completa no Posto Ipiranga: abastecer com Ipimax, passar na AmPm ou no Jet Oil e seguir rumo ao Rock in Rio. 🤘⛽ 
#Ipiranga #KMV #RockinRio2026</x:v>
      </x:c>
      <x:c t="inlineStr" r="G112">
        <x:is>
          <x:t/>
        </x:is>
      </x:c>
      <x:c t="inlineStr" r="H112"/>
      <x:c t="inlineStr" r="I112">
        <x:is>
          <x:t>Postar</x:t>
        </x:is>
      </x:c>
      <x:c t="inlineStr" r="J112">
        <x:is>
          <x:t>Texto,Imagem</x:t>
        </x:is>
      </x:c>
      <x:c t="inlineStr" r="K112"/>
      <x:c r="L112">
        <x:f>HYPERLINK("https://www.instagram.com/p/DcZSzmntl6_/")</x:f>
      </x:c>
      <x:c t="inlineStr" r="M112">
        <x:is>
          <x:t>Negativo</x:t>
        </x:is>
      </x:c>
      <x:c t="inlineStr" r="N112">
        <x:is>
          <x:t>Avenged Sevenfold Frases &amp; Versos 🇧🇷</x:t>
        </x:is>
      </x:c>
      <x:c t="inlineStr" r="O112">
        <x:is>
          <x:t>a7x_frases_versos</x:t>
        </x:is>
      </x:c>
      <x:c r="P112">
        <x:f>HYPERLINK("http://instagram.com/a7x_frases_versos")</x:f>
      </x:c>
      <x:c t="n" r="Q112">
        <x:v>55068</x:v>
      </x:c>
      <x:c t="inlineStr" r="R112"/>
      <x:c t="inlineStr" r="S112"/>
      <x:c t="inlineStr" r="T112">
        <x:is>
          <x:t>instagram.com</x:t>
        </x:is>
      </x:c>
      <x:c t="inlineStr" r="U112">
        <x:is>
          <x:t>Avenged Sevenfold Frases &amp; Versos 🇧🇷</x:t>
        </x:is>
      </x:c>
      <x:c r="V112">
        <x:f>HYPERLINK("http://instagram.com/a7x_frases_versos")</x:f>
      </x:c>
      <x:c t="n" r="W112">
        <x:v>55068</x:v>
      </x:c>
      <x:c t="inlineStr" r="X112"/>
      <x:c t="inlineStr" r="Y112">
        <x:is>
          <x:t>Rede social</x:t>
        </x:is>
      </x:c>
      <x:c t="inlineStr" r="Z112">
        <x:is>
          <x:t>Português</x:t>
        </x:is>
      </x:c>
      <x:c t="inlineStr" r="AA112"/>
      <x:c t="inlineStr" r="AB112"/>
      <x:c t="inlineStr" r="AC112"/>
      <x:c t="inlineStr" r="AD112"/>
      <x:c t="n" r="AE112">
        <x:v>3</x:v>
      </x:c>
      <x:c t="n" r="AF112">
        <x:v>3</x:v>
      </x:c>
      <x:c t="n" r="AG112">
        <x:v>3</x:v>
      </x:c>
      <x:c t="inlineStr" r="AH112"/>
      <x:c t="inlineStr" r="AI112"/>
      <x:c t="inlineStr" r="AJ112"/>
      <x:c t="inlineStr" r="AK112"/>
      <x:c t="inlineStr" r="AL112"/>
      <x:c t="inlineStr" r="AM112"/>
      <x:c t="inlineStr" r="AN112"/>
      <x:c t="n" r="AO112">
        <x:v>0</x:v>
      </x:c>
      <x:c t="inlineStr" r="AP112"/>
      <x:c t="inlineStr" r="AQ112"/>
      <x:c t="inlineStr" r="AR112"/>
      <x:c t="inlineStr" r="AS112"/>
      <x:c t="inlineStr" r="AT112"/>
      <x:c t="n" r="AU112">
        <x:v>55068</x:v>
      </x:c>
      <x:c t="inlineStr" r="AV112"/>
      <x:c t="inlineStr" r="AW112">
        <x:is>
          <x:t/>
        </x:is>
      </x:c>
      <x:c t="inlineStr" r="AX112">
        <x:is>
          <x:t>text,poster</x:t>
        </x:is>
      </x:c>
      <x:c t="inlineStr" r="AY112">
        <x:is>
          <x:t/>
        </x:is>
      </x:c>
      <x:c t="inlineStr" r="AZ112">
        <x:is>
          <x:t/>
        </x:is>
      </x:c>
      <x:c t="inlineStr" r="BA112">
        <x:is>
          <x:t/>
        </x:is>
      </x:c>
      <x:c t="inlineStr" r="BB112">
        <x:is>
          <x:t>ILLUSTRATION</x:t>
        </x:is>
      </x:c>
      <x:c t="inlineStr" r="BC112">
        <x:is>
          <x:t>advertising</x:t>
        </x:is>
      </x:c>
      <x:c t="inlineStr" r="BD112">
        <x:is>
          <x:t>https://scontent-ams2-1.cdninstagram.com/v/t51.82787-15/783507355_18577097746071342_6757722455877280570_n.jpg?stp=dst-jpg_e35_p1080x1080_tt6&amp;_nc_cat=108&amp;ig_cache_key=Mzk3MDI4NzI1NzUwMjc2ODgzMQ%3D%3D.3-ccb7-5&amp;ccb=7-5&amp;_nc_sid=58cdad&amp;efg=eyJ2ZW5jb2RlX3RhZyI6IkZFRUQueHBpZHMuMTM1MC5zZHIucmVndWxhcl9waG90by5DMyJ9&amp;_nc_ohc=qZTipVXJDq4Q7kNvwHEDDxw&amp;_nc_oc=AdqCC3QJYXOqev01J-l1utjmE3Lg4bDlzg7CjuginLw-PuSvVtLWsRHoW5R1wHvu6VXs9fQFPZ_BlIPImHc0iOQb&amp;_nc_zt=23&amp;_nc_ht=scontent-ams2-1.cdninstagram.com&amp;_nc_gid=7CfQmIOaWEHc4rCvGKgF4Q&amp;_nc_ss=70689&amp;oh=00_AQHBbq9EnwBr0rPcsKGU_vVIp9e2xSPjPd1rIjOqJC87Cg&amp;oe=6A91C20E</x:t>
        </x:is>
      </x:c>
      <x:c t="inlineStr" r="BE112">
        <x:is>
          <x:t/>
        </x:is>
      </x:c>
      <x:c t="inlineStr" r="BF112">
        <x:is>
          <x:t>Não</x:t>
        </x:is>
      </x:c>
      <x:c t="inlineStr" r="BG112"/>
      <x:c t="inlineStr" r="BH112">
        <x:is>
          <x:t/>
        </x:is>
      </x:c>
      <x:c t="inlineStr" r="BI112">
        <x:is>
          <x:t>Promoção</x:t>
        </x:is>
      </x:c>
      <x:c t="inlineStr" r="BJ112"/>
      <x:c t="inlineStr" r="BK112">
        <x:is>
          <x:t>Franquia - Jet Oil,Franquia - AmPm,Ipimax,Campanha: Parada Completa,Ipiranga,App KMV,Rock In Rio</x:t>
        </x:is>
      </x:c>
      <x:c t="inlineStr" r="BL112"/>
      <x:c t="inlineStr" r="BM112"/>
      <x:c t="inlineStr" r="BN112"/>
      <x:c t="inlineStr" r="BO112"/>
      <x:c t="inlineStr" r="BP112"/>
      <x:c t="inlineStr" r="BQ112"/>
      <x:c t="inlineStr" r="BR112"/>
      <x:c t="inlineStr" r="BS112"/>
      <x:c t="inlineStr" r="BT112"/>
      <x:c t="inlineStr" r="BU112"/>
      <x:c t="inlineStr" r="BV112">
        <x:is>
          <x:t>Franquia - AmPm</x:t>
        </x:is>
      </x:c>
      <x:c t="inlineStr" r="BW112">
        <x:is>
          <x:t>Ipimax</x:t>
        </x:is>
      </x:c>
      <x:c t="inlineStr" r="BX112">
        <x:is>
          <x:t>Franquia - Jet Oil</x:t>
        </x:is>
      </x:c>
      <x:c t="inlineStr" r="BY112">
        <x:is>
          <x:t>Campanha: Parada Completa</x:t>
        </x:is>
      </x:c>
      <x:c t="inlineStr" r="BZ112">
        <x:is>
          <x:t>Ipiranga</x:t>
        </x:is>
      </x:c>
      <x:c t="inlineStr" r="CA112"/>
      <x:c t="inlineStr" r="CB112"/>
      <x:c t="inlineStr" r="CC112"/>
      <x:c t="inlineStr" r="CD112">
        <x:is>
          <x:t>App KMV</x:t>
        </x:is>
      </x:c>
      <x:c t="inlineStr" r="CE112">
        <x:is>
          <x:t>Rock In Rio</x:t>
        </x:is>
      </x:c>
      <x:c t="inlineStr" r="CF112"/>
    </x:row>
    <x:row r="113">
      <x:c t="n" r="A113">
        <x:v>2162376380</x:v>
      </x:c>
      <x:c t="inlineStr" r="B113">
        <x:is>
          <x:t>23.08.2026</x:t>
        </x:is>
      </x:c>
      <x:c t="inlineStr" r="C113">
        <x:is>
          <x:t>17:00</x:t>
        </x:is>
      </x:c>
      <x:c t="inlineStr" r="D113">
        <x:is>
          <x:t>23.08.2026 17:30</x:t>
        </x:is>
      </x:c>
      <x:c t="inlineStr" r="E113">
        <x:is>
          <x:t/>
        </x:is>
      </x:c>
      <x:c t="str" r="F113">
        <x:v>🎤 Tem show que você assiste. O deles você vive do começo ao fim.
🎟️ Os ingressos já estão disponíveis no app KMV. Resgate usando pontos + dinheiro e ainda ganhe R$ 100 em vale-combustível.
Complete o caminho com uma Parada Completa no Posto Ipiranga e prepare-se para o Rock in Rio Brasil 2026.
#Ipiranga #KMV #RockinRio2026</x:v>
      </x:c>
      <x:c t="inlineStr" r="G113">
        <x:is>
          <x:t/>
        </x:is>
      </x:c>
      <x:c t="inlineStr" r="H113"/>
      <x:c t="inlineStr" r="I113">
        <x:is>
          <x:t>Postar</x:t>
        </x:is>
      </x:c>
      <x:c t="inlineStr" r="J113">
        <x:is>
          <x:t>Texto,Álbum,Imagem</x:t>
        </x:is>
      </x:c>
      <x:c t="inlineStr" r="K113"/>
      <x:c r="L113">
        <x:f>HYPERLINK("https://www.instagram.com/p/DcZS_6SjrM6/")</x:f>
      </x:c>
      <x:c t="inlineStr" r="M113">
        <x:is>
          <x:t>Negativo</x:t>
        </x:is>
      </x:c>
      <x:c t="inlineStr" r="N113">
        <x:is>
          <x:t>SPOOKY CLIQUE 🇧🇷 | twenty one pilots Brasil</x:t>
        </x:is>
      </x:c>
      <x:c t="inlineStr" r="O113">
        <x:is>
          <x:t>spookycliquebr</x:t>
        </x:is>
      </x:c>
      <x:c r="P113">
        <x:f>HYPERLINK("https://www.instagram.com/spookycliquebr/")</x:f>
      </x:c>
      <x:c t="n" r="Q113">
        <x:v>7855</x:v>
      </x:c>
      <x:c t="inlineStr" r="R113"/>
      <x:c t="inlineStr" r="S113"/>
      <x:c t="inlineStr" r="T113">
        <x:is>
          <x:t>instagram.com</x:t>
        </x:is>
      </x:c>
      <x:c t="inlineStr" r="U113">
        <x:is>
          <x:t>SPOOKY CLIQUE 🇧🇷 | twenty one pilots Brasil</x:t>
        </x:is>
      </x:c>
      <x:c r="V113">
        <x:f>HYPERLINK("https://www.instagram.com/spookycliquebr/")</x:f>
      </x:c>
      <x:c t="n" r="W113">
        <x:v>7855</x:v>
      </x:c>
      <x:c t="inlineStr" r="X113"/>
      <x:c t="inlineStr" r="Y113">
        <x:is>
          <x:t>Rede social</x:t>
        </x:is>
      </x:c>
      <x:c t="inlineStr" r="Z113">
        <x:is>
          <x:t>Português</x:t>
        </x:is>
      </x:c>
      <x:c t="inlineStr" r="AA113"/>
      <x:c t="inlineStr" r="AB113"/>
      <x:c t="inlineStr" r="AC113"/>
      <x:c t="inlineStr" r="AD113"/>
      <x:c t="n" r="AE113">
        <x:v>14</x:v>
      </x:c>
      <x:c t="n" r="AF113">
        <x:v>14</x:v>
      </x:c>
      <x:c t="n" r="AG113">
        <x:v>14</x:v>
      </x:c>
      <x:c t="inlineStr" r="AH113"/>
      <x:c t="inlineStr" r="AI113"/>
      <x:c t="inlineStr" r="AJ113"/>
      <x:c t="inlineStr" r="AK113"/>
      <x:c t="inlineStr" r="AL113"/>
      <x:c t="inlineStr" r="AM113"/>
      <x:c t="inlineStr" r="AN113"/>
      <x:c t="n" r="AO113">
        <x:v>0</x:v>
      </x:c>
      <x:c t="inlineStr" r="AP113"/>
      <x:c t="inlineStr" r="AQ113"/>
      <x:c t="inlineStr" r="AR113"/>
      <x:c t="inlineStr" r="AS113"/>
      <x:c t="inlineStr" r="AT113"/>
      <x:c t="n" r="AU113">
        <x:v>7855</x:v>
      </x:c>
      <x:c t="inlineStr" r="AV113"/>
      <x:c t="inlineStr" r="AW113"/>
      <x:c t="inlineStr" r="AX113"/>
      <x:c t="inlineStr" r="AY113"/>
      <x:c t="inlineStr" r="AZ113"/>
      <x:c t="inlineStr" r="BA113"/>
      <x:c t="inlineStr" r="BB113"/>
      <x:c t="inlineStr" r="BC113"/>
      <x:c t="inlineStr" r="BD113">
        <x:is>
          <x:t>https://instagram.fiev22-2.fna.fbcdn.net/v/t51.82787-15/774165958_18488208415098473_5955366143800284345_n.jpg?stp=dst-jpg_e35_tt6&amp;_nc_cat=102&amp;ig_cache_key=Mzk2NjU0MTM1MjM3MjQxNzEzOA%3D%3D.3-ccb7-5&amp;ccb=7-5&amp;_nc_sid=58cdad&amp;efg=eyJ2ZW5jb2RlX3RhZyI6IkNBUk9VU0VMX0lURU0ueHBpZHMuMTA4MC5zZHIucmVndWxhcl9waG90by5DMyJ9&amp;_nc_ohc=S6ZsMBJswVcQ7kNvwEdOvl7&amp;_nc_oc=Adp76qYuRTDb5AkuoHSqWiDJ2B8GcWNc4iIBEYIddeCUjQ3XgohOJA5OiSO-uaf26As&amp;_nc_ad=z-m&amp;_nc_cid=1489&amp;_nc_zt=23&amp;_nc_ht=instagram.fiev22-2.fna&amp;_nc_gid=yzIYSWxMmyg1MRkXGSGwqg&amp;_nc_ss=7a22e&amp;oh=00_AQFnBiOWjlCMzrJx-QQADPmo9ieUYeQeJ-NeTN3GLbNvaA&amp;oe=6A911521</x:t>
        </x:is>
      </x:c>
      <x:c t="inlineStr" r="BE113">
        <x:is>
          <x:t/>
        </x:is>
      </x:c>
      <x:c t="inlineStr" r="BF113">
        <x:is>
          <x:t>Não</x:t>
        </x:is>
      </x:c>
      <x:c t="inlineStr" r="BG113"/>
      <x:c t="inlineStr" r="BH113">
        <x:is>
          <x:t/>
        </x:is>
      </x:c>
      <x:c t="inlineStr" r="BI113">
        <x:is>
          <x:t>Promoção</x:t>
        </x:is>
      </x:c>
      <x:c t="inlineStr" r="BJ113"/>
      <x:c t="inlineStr" r="BK113">
        <x:is>
          <x:t>Campanha: Parada Completa,Ipiranga,App KMV,Rock In Rio</x:t>
        </x:is>
      </x:c>
      <x:c t="inlineStr" r="BL113"/>
      <x:c t="inlineStr" r="BM113"/>
      <x:c t="inlineStr" r="BN113"/>
      <x:c t="inlineStr" r="BO113"/>
      <x:c t="inlineStr" r="BP113"/>
      <x:c t="inlineStr" r="BQ113"/>
      <x:c t="inlineStr" r="BR113"/>
      <x:c t="inlineStr" r="BS113"/>
      <x:c t="inlineStr" r="BT113"/>
      <x:c t="inlineStr" r="BU113"/>
      <x:c t="inlineStr" r="BV113"/>
      <x:c t="inlineStr" r="BW113"/>
      <x:c t="inlineStr" r="BX113"/>
      <x:c t="inlineStr" r="BY113">
        <x:is>
          <x:t>Campanha: Parada Completa</x:t>
        </x:is>
      </x:c>
      <x:c t="inlineStr" r="BZ113">
        <x:is>
          <x:t>Ipiranga</x:t>
        </x:is>
      </x:c>
      <x:c t="inlineStr" r="CA113"/>
      <x:c t="inlineStr" r="CB113"/>
      <x:c t="inlineStr" r="CC113"/>
      <x:c t="inlineStr" r="CD113">
        <x:is>
          <x:t>App KMV</x:t>
        </x:is>
      </x:c>
      <x:c t="inlineStr" r="CE113">
        <x:is>
          <x:t>Rock In Rio</x:t>
        </x:is>
      </x:c>
      <x:c t="inlineStr" r="CF113"/>
    </x:row>
    <x:row r="114">
      <x:c t="n" r="A114">
        <x:v>676415882</x:v>
      </x:c>
      <x:c t="inlineStr" r="B114">
        <x:is>
          <x:t>21.08.2026</x:t>
        </x:is>
      </x:c>
      <x:c t="inlineStr" r="C114">
        <x:is>
          <x:t>17:56</x:t>
        </x:is>
      </x:c>
      <x:c t="inlineStr" r="D114">
        <x:is>
          <x:t>26.08.2026 23:17</x:t>
        </x:is>
      </x:c>
      <x:c t="inlineStr" r="E114">
        <x:is>
          <x:t/>
        </x:is>
      </x:c>
      <x:c t="str" r="F114">
        <x:v>🎸 Com a Ipiranga da Rede Postos 3 Irmãos, seu Rock in Rio fica ainda mais completo. Ao resgatar seus ingressos de gramado pelo app KMV, você ainda ganha R$ 100 em vale-combustível. 🚗💛 ​
​
Baixe o app KMV e garanta sua experiência no Rock in Rio Brasil 2026. ​
​
#Ipiranga #KMV #RockInRioBrasil2026 #ParadaCompleta #redepostos3irmãos</x:v>
      </x:c>
      <x:c t="inlineStr" r="G114">
        <x:is>
          <x:t/>
        </x:is>
      </x:c>
      <x:c t="inlineStr" r="H114"/>
      <x:c t="inlineStr" r="I114">
        <x:is>
          <x:t>Postar</x:t>
        </x:is>
      </x:c>
      <x:c t="inlineStr" r="J114">
        <x:is>
          <x:t>Texto,Vídeo</x:t>
        </x:is>
      </x:c>
      <x:c t="inlineStr" r="K114"/>
      <x:c r="L114">
        <x:f>HYPERLINK("https://www.instagram.com/p/DcUPntxvZUP/")</x:f>
      </x:c>
      <x:c t="inlineStr" r="M114">
        <x:is>
          <x:t>Negativo</x:t>
        </x:is>
      </x:c>
      <x:c t="inlineStr" r="N114">
        <x:is>
          <x:t>Rede Postos 3 Irmãos</x:t>
        </x:is>
      </x:c>
      <x:c t="inlineStr" r="O114">
        <x:is>
          <x:t>redepostos3irmaos</x:t>
        </x:is>
      </x:c>
      <x:c r="P114">
        <x:f>HYPERLINK("http://instagram.com/redepostos3irmaos")</x:f>
      </x:c>
      <x:c t="n" r="Q114">
        <x:v>294</x:v>
      </x:c>
      <x:c t="inlineStr" r="R114"/>
      <x:c t="inlineStr" r="S114"/>
      <x:c t="inlineStr" r="T114">
        <x:is>
          <x:t>instagram.com</x:t>
        </x:is>
      </x:c>
      <x:c t="inlineStr" r="U114">
        <x:is>
          <x:t>Rede Postos 3 Irmãos</x:t>
        </x:is>
      </x:c>
      <x:c r="V114">
        <x:f>HYPERLINK("http://instagram.com/redepostos3irmaos")</x:f>
      </x:c>
      <x:c t="n" r="W114">
        <x:v>294</x:v>
      </x:c>
      <x:c t="inlineStr" r="X114"/>
      <x:c t="inlineStr" r="Y114">
        <x:is>
          <x:t>Rede social</x:t>
        </x:is>
      </x:c>
      <x:c t="inlineStr" r="Z114">
        <x:is>
          <x:t>Português</x:t>
        </x:is>
      </x:c>
      <x:c t="inlineStr" r="AA114"/>
      <x:c t="inlineStr" r="AB114"/>
      <x:c t="inlineStr" r="AC114"/>
      <x:c t="inlineStr" r="AD114"/>
      <x:c t="inlineStr" r="AE114"/>
      <x:c t="n" r="AF114">
        <x:v>0</x:v>
      </x:c>
      <x:c t="inlineStr" r="AG114"/>
      <x:c t="inlineStr" r="AH114"/>
      <x:c t="inlineStr" r="AI114"/>
      <x:c t="inlineStr" r="AJ114"/>
      <x:c t="inlineStr" r="AK114"/>
      <x:c t="inlineStr" r="AL114"/>
      <x:c t="inlineStr" r="AM114"/>
      <x:c t="inlineStr" r="AN114"/>
      <x:c t="n" r="AO114">
        <x:v>0</x:v>
      </x:c>
      <x:c t="inlineStr" r="AP114"/>
      <x:c t="inlineStr" r="AQ114"/>
      <x:c t="inlineStr" r="AR114"/>
      <x:c t="inlineStr" r="AS114"/>
      <x:c t="inlineStr" r="AT114"/>
      <x:c t="n" r="AU114">
        <x:v>294</x:v>
      </x:c>
      <x:c t="inlineStr" r="AV114"/>
      <x:c t="inlineStr" r="AW114">
        <x:is>
          <x:t/>
        </x:is>
      </x:c>
      <x:c t="inlineStr" r="AX114">
        <x:is>
          <x:t>lighting,audience,neon,clothing,silhouette,finger</x:t>
        </x:is>
      </x:c>
      <x:c t="inlineStr" r="AY114">
        <x:is>
          <x:t>concert,stage,disco,party,music venue,night,festival,performance</x:t>
        </x:is>
      </x:c>
      <x:c t="inlineStr" r="AZ114">
        <x:is>
          <x:t>man,music artist</x:t>
        </x:is>
      </x:c>
      <x:c t="inlineStr" r="BA114">
        <x:is>
          <x:t>cheering,standing</x:t>
        </x:is>
      </x:c>
      <x:c t="inlineStr" r="BB114">
        <x:is>
          <x:t>ILLUSTRATION</x:t>
        </x:is>
      </x:c>
      <x:c t="inlineStr" r="BC114">
        <x:is>
          <x:t>screenshot</x:t>
        </x:is>
      </x:c>
      <x:c t="inlineStr" r="BD114">
        <x:is>
          <x:t>https://scontent.cdninstagram.com/v/t51.71878-15/780551047_3364849957032282_1442576015845491082_n.jpg?stp=dst-jpg_e15_tt6&amp;_nc_cat=104&amp;ig_cache_key=Mzk2ODg2NTg3MTUzMDM5ODk5MQ%3D%3D.3-ccb7-5&amp;ccb=7-5&amp;_nc_sid=58cdad&amp;efg=eyJ2ZW5jb2RlX3RhZyI6IkNMSVBTLnhwaWRzLjY0MC5zZHIudmlkZW9fZGVmYXVsdF9jb3Zlcl9mcmFtZS5DMyJ9&amp;_nc_ohc=c6W-jhlb0wkQ7kNvwEbCD0S&amp;_nc_oc=AdoSnFgCfvyKg1W9ywAS-TZ7fysAXOEchM_BAgPsnbmK8diGK3CNuULfBngcj-JuJEE&amp;_nc_zt=23&amp;_nc_ht=scontent.cdninstagram.com&amp;_nc_gid=Ey7NFgf5o3lgXfk3niGkrw&amp;_nc_ss=70689&amp;oh=00_AQG4xWvtIPiyg1sFnGIdb9awMUIXWrlsS1OOJ6uqZckGMA&amp;oe=6A957124</x:t>
        </x:is>
      </x:c>
      <x:c t="inlineStr" r="BE114">
        <x:is>
          <x:t/>
        </x:is>
      </x:c>
      <x:c t="inlineStr" r="BF114">
        <x:is>
          <x:t>Não</x:t>
        </x:is>
      </x:c>
      <x:c t="inlineStr" r="BG114"/>
      <x:c t="inlineStr" r="BH114">
        <x:is>
          <x:t/>
        </x:is>
      </x:c>
      <x:c t="inlineStr" r="BI114">
        <x:is>
          <x:t>Promoção</x:t>
        </x:is>
      </x:c>
      <x:c t="inlineStr" r="BJ114"/>
      <x:c t="inlineStr" r="BK114">
        <x:is>
          <x:t>Ipiranga,App KMV,Rock In Rio</x:t>
        </x:is>
      </x:c>
      <x:c t="inlineStr" r="BL114"/>
      <x:c t="inlineStr" r="BM114"/>
      <x:c t="inlineStr" r="BN114"/>
      <x:c t="inlineStr" r="BO114"/>
      <x:c t="inlineStr" r="BP114"/>
      <x:c t="inlineStr" r="BQ114"/>
      <x:c t="inlineStr" r="BR114"/>
      <x:c t="inlineStr" r="BS114"/>
      <x:c t="inlineStr" r="BT114"/>
      <x:c t="inlineStr" r="BU114"/>
      <x:c t="inlineStr" r="BV114"/>
      <x:c t="inlineStr" r="BW114"/>
      <x:c t="inlineStr" r="BX114"/>
      <x:c t="inlineStr" r="BY114"/>
      <x:c t="inlineStr" r="BZ114">
        <x:is>
          <x:t>Ipiranga</x:t>
        </x:is>
      </x:c>
      <x:c t="inlineStr" r="CA114"/>
      <x:c t="inlineStr" r="CB114"/>
      <x:c t="inlineStr" r="CC114"/>
      <x:c t="inlineStr" r="CD114">
        <x:is>
          <x:t>App KMV</x:t>
        </x:is>
      </x:c>
      <x:c t="inlineStr" r="CE114">
        <x:is>
          <x:t>Rock In Rio</x:t>
        </x:is>
      </x:c>
      <x:c t="inlineStr" r="CF114"/>
    </x:row>
    <x:row r="115">
      <x:c t="n" r="A115">
        <x:v>4242174731</x:v>
      </x:c>
      <x:c t="inlineStr" r="B115">
        <x:is>
          <x:t>21.08.2026</x:t>
        </x:is>
      </x:c>
      <x:c t="inlineStr" r="C115">
        <x:is>
          <x:t>17:33</x:t>
        </x:is>
      </x:c>
      <x:c t="inlineStr" r="D115">
        <x:is>
          <x:t>21.08.2026 18:11</x:t>
        </x:is>
      </x:c>
      <x:c t="inlineStr" r="E115">
        <x:is>
          <x:t/>
        </x:is>
      </x:c>
      <x:c t="str" r="F115">
        <x:v>O app KMV te leva para cantar pagode.
🎟️ Resgate seu ingresso para o Rock In Rio Brasil 2026  usando seus pontos + dinheiro e ganhe R$ 100 em vale-combustível.
E, pra deixar a parada ainda mais completa, faça uma parada no Posto Ipiranga: abasteça com Ipimax, passe na AmPm ou no Jet Oil e se prepare para curtir o melhor do festival. 🚗⛽🤘
#Ipiranga #KMV #RockinRio2026</x:v>
      </x:c>
      <x:c t="inlineStr" r="G115">
        <x:is>
          <x:t/>
        </x:is>
      </x:c>
      <x:c t="inlineStr" r="H115"/>
      <x:c t="inlineStr" r="I115">
        <x:is>
          <x:t>Postar</x:t>
        </x:is>
      </x:c>
      <x:c t="inlineStr" r="J115">
        <x:is>
          <x:t>Texto,Álbum,Imagem</x:t>
        </x:is>
      </x:c>
      <x:c t="inlineStr" r="K115"/>
      <x:c r="L115">
        <x:f>HYPERLINK("https://www.threads.net/@cantorbelomilgrau/post/DcUNG9qGdU3")</x:f>
      </x:c>
      <x:c t="inlineStr" r="M115">
        <x:is>
          <x:t>Negativo</x:t>
        </x:is>
      </x:c>
      <x:c t="inlineStr" r="N115">
        <x:is>
          <x:t>Central Cantor Belo</x:t>
        </x:is>
      </x:c>
      <x:c t="inlineStr" r="O115">
        <x:is>
          <x:t>cantorbelomilgrau</x:t>
        </x:is>
      </x:c>
      <x:c r="P115">
        <x:f>HYPERLINK("https://www.threads.net/@cantorbelomilgrau")</x:f>
      </x:c>
      <x:c t="n" r="Q115">
        <x:v>69142</x:v>
      </x:c>
      <x:c t="inlineStr" r="R115"/>
      <x:c t="inlineStr" r="S115"/>
      <x:c t="inlineStr" r="T115">
        <x:is>
          <x:t>threads.com</x:t>
        </x:is>
      </x:c>
      <x:c t="inlineStr" r="U115"/>
      <x:c t="inlineStr" r="V115"/>
      <x:c t="inlineStr" r="W115"/>
      <x:c t="inlineStr" r="X115"/>
      <x:c t="inlineStr" r="Y115">
        <x:is>
          <x:t>Rede social</x:t>
        </x:is>
      </x:c>
      <x:c t="inlineStr" r="Z115">
        <x:is>
          <x:t>Português</x:t>
        </x:is>
      </x:c>
      <x:c t="inlineStr" r="AA115"/>
      <x:c t="inlineStr" r="AB115"/>
      <x:c t="inlineStr" r="AC115"/>
      <x:c t="inlineStr" r="AD115"/>
      <x:c t="n" r="AE115">
        <x:v>1</x:v>
      </x:c>
      <x:c t="n" r="AF115">
        <x:v>1</x:v>
      </x:c>
      <x:c t="n" r="AG115">
        <x:v>1</x:v>
      </x:c>
      <x:c t="inlineStr" r="AH115"/>
      <x:c t="inlineStr" r="AI115"/>
      <x:c t="inlineStr" r="AJ115"/>
      <x:c t="inlineStr" r="AK115"/>
      <x:c t="inlineStr" r="AL115"/>
      <x:c t="inlineStr" r="AM115"/>
      <x:c t="inlineStr" r="AN115"/>
      <x:c t="n" r="AO115">
        <x:v>0</x:v>
      </x:c>
      <x:c t="inlineStr" r="AP115"/>
      <x:c t="inlineStr" r="AQ115"/>
      <x:c t="inlineStr" r="AR115"/>
      <x:c t="inlineStr" r="AS115"/>
      <x:c t="inlineStr" r="AT115"/>
      <x:c t="n" r="AU115">
        <x:v>69142</x:v>
      </x:c>
      <x:c t="inlineStr" r="AV115"/>
      <x:c t="inlineStr" r="AW115">
        <x:is>
          <x:t/>
        </x:is>
      </x:c>
      <x:c t="inlineStr" r="AX115">
        <x:is>
          <x:t>text,poster,emblem</x:t>
        </x:is>
      </x:c>
      <x:c t="inlineStr" r="AY115">
        <x:is>
          <x:t/>
        </x:is>
      </x:c>
      <x:c t="inlineStr" r="AZ115">
        <x:is>
          <x:t/>
        </x:is>
      </x:c>
      <x:c t="inlineStr" r="BA115">
        <x:is>
          <x:t/>
        </x:is>
      </x:c>
      <x:c t="inlineStr" r="BB115">
        <x:is>
          <x:t>ILLUSTRATION</x:t>
        </x:is>
      </x:c>
      <x:c t="inlineStr" r="BC115">
        <x:is>
          <x:t>advertising</x:t>
        </x:is>
      </x:c>
      <x:c t="inlineStr" r="BD115">
        <x:is>
          <x:t>https://instagram.fhyd5-2.fna.fbcdn.net/v/t51.82787-15/780581060_18378246604231945_4400537528698181883_n.jpg?stp=dst-jpg_e35_tt6&amp;_nc_cat=109&amp;ig_cache_key=Mzk2ODg1NDgwODM2MzM4NjA0Mw%3D%3D.3-ccb7-5&amp;ccb=7-5&amp;_nc_sid=58cdad&amp;efg=eyJ2ZW5jb2RlX3RhZyI6IkNBUk9VU0VMX0lURU0ueHBpZHMuMTA4MC5zZHIucmVndWxhcl9waG90by5DMyJ9&amp;_nc_ohc=VMgywmABSf8Q7kNvwGDtAtM&amp;_nc_oc=Adqg8aymCel78qsAt6EAMqEU9yxVT7bUBtOmPR-b4cp37Db3azOIhyukrGzEyzkcJTQ&amp;_nc_ad=z-m&amp;_nc_cid=0&amp;_nc_zt=23&amp;_nc_ht=instagram.fhyd5-2.fna&amp;_nc_gid=poyi-XrwJz_kAmBJFQbQOQ&amp;_nc_ss=7a22e&amp;oh=00_AQE5dQN8CdqFYUzzihHb4tUCtcRCb4iDmaqBPSW_6W0CCA&amp;oe=6A8E7978</x:t>
        </x:is>
      </x:c>
      <x:c t="inlineStr" r="BE115">
        <x:is>
          <x:t/>
        </x:is>
      </x:c>
      <x:c t="inlineStr" r="BF115">
        <x:is>
          <x:t>Não</x:t>
        </x:is>
      </x:c>
      <x:c t="inlineStr" r="BG115"/>
      <x:c t="inlineStr" r="BH115">
        <x:is>
          <x:t/>
        </x:is>
      </x:c>
      <x:c t="inlineStr" r="BI115">
        <x:is>
          <x:t>Promoção</x:t>
        </x:is>
      </x:c>
      <x:c t="inlineStr" r="BJ115">
        <x:is>
          <x:t>Ao resgatar seus ingressos de gramado pelo app KMV, você ainda ganha R$ 100 em vale-combustível</x:t>
        </x:is>
      </x:c>
      <x:c t="inlineStr" r="BK115">
        <x:is>
          <x:t>Franquia - Jet Oil,Franquia - AmPm,Ipimax,Campanha: Parada Completa,Ipiranga,App KMV,Rock In Rio</x:t>
        </x:is>
      </x:c>
      <x:c t="inlineStr" r="BL115"/>
      <x:c t="inlineStr" r="BM115"/>
      <x:c t="inlineStr" r="BN115"/>
      <x:c t="inlineStr" r="BO115"/>
      <x:c t="inlineStr" r="BP115"/>
      <x:c t="inlineStr" r="BQ115"/>
      <x:c t="inlineStr" r="BR115"/>
      <x:c t="inlineStr" r="BS115"/>
      <x:c t="inlineStr" r="BT115"/>
      <x:c t="inlineStr" r="BU115"/>
      <x:c t="inlineStr" r="BV115">
        <x:is>
          <x:t>Franquia - AmPm</x:t>
        </x:is>
      </x:c>
      <x:c t="inlineStr" r="BW115">
        <x:is>
          <x:t>Ipimax</x:t>
        </x:is>
      </x:c>
      <x:c t="inlineStr" r="BX115">
        <x:is>
          <x:t>Franquia - Jet Oil</x:t>
        </x:is>
      </x:c>
      <x:c t="inlineStr" r="BY115">
        <x:is>
          <x:t>Campanha: Parada Completa</x:t>
        </x:is>
      </x:c>
      <x:c t="inlineStr" r="BZ115">
        <x:is>
          <x:t>Ipiranga</x:t>
        </x:is>
      </x:c>
      <x:c t="inlineStr" r="CA115"/>
      <x:c t="inlineStr" r="CB115"/>
      <x:c t="inlineStr" r="CC115"/>
      <x:c t="inlineStr" r="CD115">
        <x:is>
          <x:t>App KMV</x:t>
        </x:is>
      </x:c>
      <x:c t="inlineStr" r="CE115">
        <x:is>
          <x:t>Rock In Rio</x:t>
        </x:is>
      </x:c>
      <x:c t="inlineStr" r="CF115"/>
    </x:row>
    <x:row r="116">
      <x:c t="n" r="A116">
        <x:v>1848571483</x:v>
      </x:c>
      <x:c t="inlineStr" r="B116">
        <x:is>
          <x:t>21.08.2026</x:t>
        </x:is>
      </x:c>
      <x:c t="inlineStr" r="C116">
        <x:is>
          <x:t>17:32</x:t>
        </x:is>
      </x:c>
      <x:c t="inlineStr" r="D116">
        <x:is>
          <x:t>21.08.2026 18:01</x:t>
        </x:is>
      </x:c>
      <x:c t="inlineStr" r="E116">
        <x:is>
          <x:t/>
        </x:is>
      </x:c>
      <x:c t="str" r="F116">
        <x:v>O app KMV te leva para cantar pagode.
🎟️ Resgate seu ingresso para o Rock In Rio Brasil 2026  usando seus pontos + dinheiro e ganhe R$ 100 em vale-combustível.
E, pra deixar a parada ainda mais completa, faça uma parada no Posto Ipiranga: abasteça com Ipimax, passe na AmPm ou no Jet Oil e se prepare para curtir o melhor do festival. 🚗⛽🤘
#Ipiranga #KMV #RockinRio2026</x:v>
      </x:c>
      <x:c t="inlineStr" r="G116">
        <x:is>
          <x:t/>
        </x:is>
      </x:c>
      <x:c t="inlineStr" r="H116"/>
      <x:c t="inlineStr" r="I116">
        <x:is>
          <x:t>Postar</x:t>
        </x:is>
      </x:c>
      <x:c t="inlineStr" r="J116">
        <x:is>
          <x:t>Texto,Álbum,Imagem</x:t>
        </x:is>
      </x:c>
      <x:c t="inlineStr" r="K116"/>
      <x:c r="L116">
        <x:f>HYPERLINK("https://www.instagram.com/p/DcUNFX9mUiE/")</x:f>
      </x:c>
      <x:c t="inlineStr" r="M116">
        <x:is>
          <x:t>Negativo</x:t>
        </x:is>
      </x:c>
      <x:c t="inlineStr" r="N116">
        <x:is>
          <x:t>Central Cantor Belo</x:t>
        </x:is>
      </x:c>
      <x:c t="inlineStr" r="O116">
        <x:is>
          <x:t>cantorbelomilgrau</x:t>
        </x:is>
      </x:c>
      <x:c r="P116">
        <x:f>HYPERLINK("https://www.instagram.com/cantorbelomilgrau/")</x:f>
      </x:c>
      <x:c t="n" r="Q116">
        <x:v>420524</x:v>
      </x:c>
      <x:c t="inlineStr" r="R116"/>
      <x:c t="inlineStr" r="S116"/>
      <x:c t="inlineStr" r="T116">
        <x:is>
          <x:t>instagram.com</x:t>
        </x:is>
      </x:c>
      <x:c t="inlineStr" r="U116">
        <x:is>
          <x:t>Central Cantor Belo</x:t>
        </x:is>
      </x:c>
      <x:c r="V116">
        <x:f>HYPERLINK("https://www.instagram.com/cantorbelomilgrau/")</x:f>
      </x:c>
      <x:c t="n" r="W116">
        <x:v>420524</x:v>
      </x:c>
      <x:c t="inlineStr" r="X116"/>
      <x:c t="inlineStr" r="Y116">
        <x:is>
          <x:t>Rede social</x:t>
        </x:is>
      </x:c>
      <x:c t="inlineStr" r="Z116">
        <x:is>
          <x:t>Português</x:t>
        </x:is>
      </x:c>
      <x:c t="inlineStr" r="AA116"/>
      <x:c t="inlineStr" r="AB116"/>
      <x:c t="inlineStr" r="AC116"/>
      <x:c t="inlineStr" r="AD116"/>
      <x:c t="n" r="AE116">
        <x:v>2</x:v>
      </x:c>
      <x:c t="n" r="AF116">
        <x:v>2</x:v>
      </x:c>
      <x:c t="n" r="AG116">
        <x:v>2</x:v>
      </x:c>
      <x:c t="inlineStr" r="AH116"/>
      <x:c t="inlineStr" r="AI116"/>
      <x:c t="inlineStr" r="AJ116"/>
      <x:c t="inlineStr" r="AK116"/>
      <x:c t="inlineStr" r="AL116"/>
      <x:c t="inlineStr" r="AM116"/>
      <x:c t="inlineStr" r="AN116"/>
      <x:c t="n" r="AO116">
        <x:v>0</x:v>
      </x:c>
      <x:c t="inlineStr" r="AP116"/>
      <x:c t="inlineStr" r="AQ116"/>
      <x:c t="inlineStr" r="AR116"/>
      <x:c t="inlineStr" r="AS116"/>
      <x:c t="inlineStr" r="AT116"/>
      <x:c t="n" r="AU116">
        <x:v>420524</x:v>
      </x:c>
      <x:c t="inlineStr" r="AV116"/>
      <x:c t="inlineStr" r="AW116">
        <x:is>
          <x:t/>
        </x:is>
      </x:c>
      <x:c t="inlineStr" r="AX116">
        <x:is>
          <x:t>text,poster,emblem</x:t>
        </x:is>
      </x:c>
      <x:c t="inlineStr" r="AY116">
        <x:is>
          <x:t/>
        </x:is>
      </x:c>
      <x:c t="inlineStr" r="AZ116">
        <x:is>
          <x:t/>
        </x:is>
      </x:c>
      <x:c t="inlineStr" r="BA116">
        <x:is>
          <x:t/>
        </x:is>
      </x:c>
      <x:c t="inlineStr" r="BB116">
        <x:is>
          <x:t>ILLUSTRATION</x:t>
        </x:is>
      </x:c>
      <x:c t="inlineStr" r="BC116">
        <x:is>
          <x:t>advertising</x:t>
        </x:is>
      </x:c>
      <x:c t="inlineStr" r="BD116">
        <x:is>
          <x:t>https://scontent-fra5-2.cdninstagram.com/v/t51.82787-15/780581060_18378246604231945_4400537528698181883_n.jpg?stp=dst-jpg_e35_tt6&amp;_nc_cat=109&amp;ccb=7-5&amp;_nc_sid=18de74&amp;efg=eyJlZmdfdGFnIjoiQ0FST1VTRUxfSVRFTS5iZXN0X2ltYWdlX3VybGdlbi5DMyJ9&amp;_nc_ohc=VMgywmABSf8Q7kNvwEanXbG&amp;_nc_oc=AdpUumMKjULW8eM0WDSETS_B3H-zTnCI_YvN7iz32YcJRHlHmqtphCGqkT3lcpBzfUA&amp;_nc_zt=23&amp;_nc_ht=scontent-fra5-2.cdninstagram.com&amp;edm=AJ7ooaQEAAAA&amp;_nc_gid=WVNduq_-ATOgqFf2vCp3zQ&amp;oh=00_AQFyJA5L4cGw3aPBaen0sJJkQv7grzP7RQ5jbVgHv5zOXA&amp;oe=6A8E7978</x:t>
        </x:is>
      </x:c>
      <x:c t="inlineStr" r="BE116">
        <x:is>
          <x:t/>
        </x:is>
      </x:c>
      <x:c t="inlineStr" r="BF116">
        <x:is>
          <x:t>Não</x:t>
        </x:is>
      </x:c>
      <x:c t="inlineStr" r="BG116"/>
      <x:c t="inlineStr" r="BH116">
        <x:is>
          <x:t/>
        </x:is>
      </x:c>
      <x:c t="inlineStr" r="BI116">
        <x:is>
          <x:t>Promoção</x:t>
        </x:is>
      </x:c>
      <x:c t="inlineStr" r="BJ116">
        <x:is>
          <x:t>Ao resgatar seus ingressos de gramado pelo app KMV, você ainda ganha R$ 100 em vale-combustível</x:t>
        </x:is>
      </x:c>
      <x:c t="inlineStr" r="BK116">
        <x:is>
          <x:t>Franquia - Jet Oil,Franquia - AmPm,Ipimax,Campanha: Parada Completa,Ipiranga,App KMV,Rock In Rio</x:t>
        </x:is>
      </x:c>
      <x:c t="inlineStr" r="BL116"/>
      <x:c t="inlineStr" r="BM116"/>
      <x:c t="inlineStr" r="BN116"/>
      <x:c t="inlineStr" r="BO116"/>
      <x:c t="inlineStr" r="BP116"/>
      <x:c t="inlineStr" r="BQ116"/>
      <x:c t="inlineStr" r="BR116"/>
      <x:c t="inlineStr" r="BS116"/>
      <x:c t="inlineStr" r="BT116"/>
      <x:c t="inlineStr" r="BU116"/>
      <x:c t="inlineStr" r="BV116">
        <x:is>
          <x:t>Franquia - AmPm</x:t>
        </x:is>
      </x:c>
      <x:c t="inlineStr" r="BW116">
        <x:is>
          <x:t>Ipimax</x:t>
        </x:is>
      </x:c>
      <x:c t="inlineStr" r="BX116">
        <x:is>
          <x:t>Franquia - Jet Oil</x:t>
        </x:is>
      </x:c>
      <x:c t="inlineStr" r="BY116">
        <x:is>
          <x:t>Campanha: Parada Completa</x:t>
        </x:is>
      </x:c>
      <x:c t="inlineStr" r="BZ116">
        <x:is>
          <x:t>Ipiranga</x:t>
        </x:is>
      </x:c>
      <x:c t="inlineStr" r="CA116"/>
      <x:c t="inlineStr" r="CB116"/>
      <x:c t="inlineStr" r="CC116"/>
      <x:c t="inlineStr" r="CD116">
        <x:is>
          <x:t>App KMV</x:t>
        </x:is>
      </x:c>
      <x:c t="inlineStr" r="CE116">
        <x:is>
          <x:t>Rock In Rio</x:t>
        </x:is>
      </x:c>
      <x:c t="inlineStr" r="CF116"/>
    </x:row>
    <x:row r="117">
      <x:c t="n" r="A117">
        <x:v>109128886</x:v>
      </x:c>
      <x:c t="inlineStr" r="B117">
        <x:is>
          <x:t>21.08.2026</x:t>
        </x:is>
      </x:c>
      <x:c t="inlineStr" r="C117">
        <x:is>
          <x:t>12:59</x:t>
        </x:is>
      </x:c>
      <x:c t="inlineStr" r="D117">
        <x:is>
          <x:t>23.08.2026 07:57</x:t>
        </x:is>
      </x:c>
      <x:c t="inlineStr" r="E117">
        <x:is>
          <x:t/>
        </x:is>
      </x:c>
      <x:c t="str" r="F117">
        <x:v>💜 Tem artista que faz parte da trilha sonora da nossa vida. Agora você pode viver esse momento ao vivo no Rock in Rio Brasil 2026. 
🎟️ Resgate seu ingresso de gramado pelo app KMV usando pontos + dinheiro e ainda ganhe R$ 100 em vale-combustível. 
Faça uma Parada Completa no Posto Ipiranga: abasteça com Ipimax, passe na AmPm ou no Jet Oil e fique preparado para curtir o melhor do festival.
#Ipiranga #KMV #RockinRio2026</x:v>
      </x:c>
      <x:c t="inlineStr" r="G117">
        <x:is>
          <x:t/>
        </x:is>
      </x:c>
      <x:c t="inlineStr" r="H117"/>
      <x:c t="inlineStr" r="I117">
        <x:is>
          <x:t>Repost</x:t>
        </x:is>
      </x:c>
      <x:c t="inlineStr" r="J117">
        <x:is>
          <x:t>Imagem,Texto</x:t>
        </x:is>
      </x:c>
      <x:c t="inlineStr" r="K117"/>
      <x:c r="L117">
        <x:f>HYPERLINK("https://x.com/ipiranga/status/2090831102034256233")</x:f>
      </x:c>
      <x:c t="inlineStr" r="M117">
        <x:is>
          <x:t>Negativo</x:t>
        </x:is>
      </x:c>
      <x:c t="inlineStr" r="N117">
        <x:is>
          <x:t>Ipiranga</x:t>
        </x:is>
      </x:c>
      <x:c t="inlineStr" r="O117">
        <x:is>
          <x:t>ipiranga</x:t>
        </x:is>
      </x:c>
      <x:c r="P117">
        <x:f>HYPERLINK("http://x.com/ipiranga")</x:f>
      </x:c>
      <x:c t="n" r="Q117">
        <x:v>15141</x:v>
      </x:c>
      <x:c t="inlineStr" r="R117"/>
      <x:c t="inlineStr" r="S117"/>
      <x:c t="inlineStr" r="T117">
        <x:is>
          <x:t>x.com</x:t>
        </x:is>
      </x:c>
      <x:c t="inlineStr" r="U117"/>
      <x:c t="inlineStr" r="V117"/>
      <x:c t="inlineStr" r="W117"/>
      <x:c t="inlineStr" r="X117"/>
      <x:c t="inlineStr" r="Y117">
        <x:is>
          <x:t>Rede social</x:t>
        </x:is>
      </x:c>
      <x:c t="inlineStr" r="Z117">
        <x:is>
          <x:t>Português</x:t>
        </x:is>
      </x:c>
      <x:c t="inlineStr" r="AA117">
        <x:is>
          <x:t>Brasil</x:t>
        </x:is>
      </x:c>
      <x:c t="inlineStr" r="AB117">
        <x:is>
          <x:t>Rio de Janeiro</x:t>
        </x:is>
      </x:c>
      <x:c t="inlineStr" r="AC117"/>
      <x:c t="inlineStr" r="AD117"/>
      <x:c t="inlineStr" r="AE117"/>
      <x:c t="n" r="AF117">
        <x:v>0</x:v>
      </x:c>
      <x:c t="inlineStr" r="AG117"/>
      <x:c t="inlineStr" r="AH117"/>
      <x:c t="inlineStr" r="AI117"/>
      <x:c t="inlineStr" r="AJ117"/>
      <x:c t="inlineStr" r="AK117"/>
      <x:c t="inlineStr" r="AL117"/>
      <x:c t="inlineStr" r="AM117"/>
      <x:c t="inlineStr" r="AN117"/>
      <x:c t="inlineStr" r="AO117"/>
      <x:c t="inlineStr" r="AP117"/>
      <x:c t="inlineStr" r="AQ117"/>
      <x:c t="inlineStr" r="AR117"/>
      <x:c t="inlineStr" r="AS117"/>
      <x:c t="inlineStr" r="AT117"/>
      <x:c t="n" r="AU117">
        <x:v>15141</x:v>
      </x:c>
      <x:c t="inlineStr" r="AV117"/>
      <x:c t="inlineStr" r="AW117">
        <x:is>
          <x:t/>
        </x:is>
      </x:c>
      <x:c t="inlineStr" r="AX117">
        <x:is>
          <x:t>text,poster</x:t>
        </x:is>
      </x:c>
      <x:c t="inlineStr" r="AY117">
        <x:is>
          <x:t/>
        </x:is>
      </x:c>
      <x:c t="inlineStr" r="AZ117">
        <x:is>
          <x:t/>
        </x:is>
      </x:c>
      <x:c t="inlineStr" r="BA117">
        <x:is>
          <x:t/>
        </x:is>
      </x:c>
      <x:c t="inlineStr" r="BB117">
        <x:is>
          <x:t>ILLUSTRATION</x:t>
        </x:is>
      </x:c>
      <x:c t="inlineStr" r="BC117">
        <x:is>
          <x:t>advertising</x:t>
        </x:is>
      </x:c>
      <x:c r="BD117">
        <x:f>HYPERLINK("https://pbs.twimg.com/media/HQHv5oiXQAA_0gh.jpg")</x:f>
      </x:c>
      <x:c t="inlineStr" r="BE117">
        <x:is>
          <x:t/>
        </x:is>
      </x:c>
      <x:c t="inlineStr" r="BF117">
        <x:is>
          <x:t>Não</x:t>
        </x:is>
      </x:c>
      <x:c t="inlineStr" r="BG117"/>
      <x:c t="inlineStr" r="BH117">
        <x:is>
          <x:t/>
        </x:is>
      </x:c>
      <x:c t="inlineStr" r="BI117">
        <x:is>
          <x:t>Promoção</x:t>
        </x:is>
      </x:c>
      <x:c t="inlineStr" r="BJ117"/>
      <x:c t="inlineStr" r="BK117">
        <x:is>
          <x:t>Ipiranga - Contas Oficiais,Franquia - Jet Oil,Franquia - AmPm,Ipimax,Campanha: Parada Completa,Ipiranga,App KMV,Rock In Rio</x:t>
        </x:is>
      </x:c>
      <x:c t="inlineStr" r="BL117"/>
      <x:c t="inlineStr" r="BM117"/>
      <x:c t="inlineStr" r="BN117"/>
      <x:c t="inlineStr" r="BO117"/>
      <x:c t="inlineStr" r="BP117"/>
      <x:c t="inlineStr" r="BQ117">
        <x:is>
          <x:t>Ipiranga - Contas Oficiais</x:t>
        </x:is>
      </x:c>
      <x:c t="inlineStr" r="BR117"/>
      <x:c t="inlineStr" r="BS117"/>
      <x:c t="inlineStr" r="BT117"/>
      <x:c t="inlineStr" r="BU117"/>
      <x:c t="inlineStr" r="BV117">
        <x:is>
          <x:t>Franquia - AmPm</x:t>
        </x:is>
      </x:c>
      <x:c t="inlineStr" r="BW117">
        <x:is>
          <x:t>Ipimax</x:t>
        </x:is>
      </x:c>
      <x:c t="inlineStr" r="BX117">
        <x:is>
          <x:t>Franquia - Jet Oil</x:t>
        </x:is>
      </x:c>
      <x:c t="inlineStr" r="BY117">
        <x:is>
          <x:t>Campanha: Parada Completa</x:t>
        </x:is>
      </x:c>
      <x:c t="inlineStr" r="BZ117">
        <x:is>
          <x:t>Ipiranga</x:t>
        </x:is>
      </x:c>
      <x:c t="inlineStr" r="CA117"/>
      <x:c t="inlineStr" r="CB117"/>
      <x:c t="inlineStr" r="CC117"/>
      <x:c t="inlineStr" r="CD117">
        <x:is>
          <x:t>App KMV</x:t>
        </x:is>
      </x:c>
      <x:c t="inlineStr" r="CE117">
        <x:is>
          <x:t>Rock In Rio</x:t>
        </x:is>
      </x:c>
      <x:c t="inlineStr" r="CF117"/>
    </x:row>
    <x:row r="118">
      <x:c t="n" r="A118">
        <x:v>2357443662</x:v>
      </x:c>
      <x:c t="inlineStr" r="B118">
        <x:is>
          <x:t>21.08.2026</x:t>
        </x:is>
      </x:c>
      <x:c t="inlineStr" r="C118">
        <x:is>
          <x:t>12:19</x:t>
        </x:is>
      </x:c>
      <x:c t="inlineStr" r="D118">
        <x:is>
          <x:t>23.08.2026 07:58</x:t>
        </x:is>
      </x:c>
      <x:c t="inlineStr" r="E118">
        <x:is>
          <x:t/>
        </x:is>
      </x:c>
      <x:c t="str" r="F118">
        <x:v>Ingressos para o show que você esperava no Rock in Rio Brasil 2026 já estão disponíveis no app KMV!
 🎟️ 
Resgate seu ingresso de gramado usando pontos + dinheiro e ainda ganhe R$ 100 em vale-combustível. 
🚗 E, para deixar a experiência ainda mais completa, faça uma Parada Completa no Posto Ipiranga: abasteça com Ipimax, passe na AmPm ou no Jet Oil antes de seguir para o festival.
#Ipiranga #KMV #RockinRio2026</x:v>
      </x:c>
      <x:c t="inlineStr" r="G118">
        <x:is>
          <x:t/>
        </x:is>
      </x:c>
      <x:c t="inlineStr" r="H118"/>
      <x:c t="inlineStr" r="I118">
        <x:is>
          <x:t>Repost</x:t>
        </x:is>
      </x:c>
      <x:c t="inlineStr" r="J118">
        <x:is>
          <x:t>Imagem,Texto</x:t>
        </x:is>
      </x:c>
      <x:c t="inlineStr" r="K118"/>
      <x:c r="L118">
        <x:f>HYPERLINK("https://x.com/ipiranga/status/2090821166927601739")</x:f>
      </x:c>
      <x:c t="inlineStr" r="M118">
        <x:is>
          <x:t>Negativo</x:t>
        </x:is>
      </x:c>
      <x:c t="inlineStr" r="N118">
        <x:is>
          <x:t>Ipiranga</x:t>
        </x:is>
      </x:c>
      <x:c t="inlineStr" r="O118">
        <x:is>
          <x:t>ipiranga</x:t>
        </x:is>
      </x:c>
      <x:c r="P118">
        <x:f>HYPERLINK("http://x.com/ipiranga")</x:f>
      </x:c>
      <x:c t="n" r="Q118">
        <x:v>15141</x:v>
      </x:c>
      <x:c t="inlineStr" r="R118"/>
      <x:c t="inlineStr" r="S118"/>
      <x:c t="inlineStr" r="T118">
        <x:is>
          <x:t>x.com</x:t>
        </x:is>
      </x:c>
      <x:c t="inlineStr" r="U118"/>
      <x:c t="inlineStr" r="V118"/>
      <x:c t="inlineStr" r="W118"/>
      <x:c t="inlineStr" r="X118"/>
      <x:c t="inlineStr" r="Y118">
        <x:is>
          <x:t>Rede social</x:t>
        </x:is>
      </x:c>
      <x:c t="inlineStr" r="Z118">
        <x:is>
          <x:t>Português</x:t>
        </x:is>
      </x:c>
      <x:c t="inlineStr" r="AA118">
        <x:is>
          <x:t>Brasil</x:t>
        </x:is>
      </x:c>
      <x:c t="inlineStr" r="AB118">
        <x:is>
          <x:t>Rio de Janeiro</x:t>
        </x:is>
      </x:c>
      <x:c t="inlineStr" r="AC118"/>
      <x:c t="inlineStr" r="AD118"/>
      <x:c t="inlineStr" r="AE118"/>
      <x:c t="n" r="AF118">
        <x:v>0</x:v>
      </x:c>
      <x:c t="inlineStr" r="AG118"/>
      <x:c t="inlineStr" r="AH118"/>
      <x:c t="inlineStr" r="AI118"/>
      <x:c t="inlineStr" r="AJ118"/>
      <x:c t="inlineStr" r="AK118"/>
      <x:c t="inlineStr" r="AL118"/>
      <x:c t="inlineStr" r="AM118"/>
      <x:c t="inlineStr" r="AN118"/>
      <x:c t="inlineStr" r="AO118"/>
      <x:c t="inlineStr" r="AP118"/>
      <x:c t="inlineStr" r="AQ118"/>
      <x:c t="inlineStr" r="AR118"/>
      <x:c t="inlineStr" r="AS118"/>
      <x:c t="inlineStr" r="AT118"/>
      <x:c t="n" r="AU118">
        <x:v>15141</x:v>
      </x:c>
      <x:c t="inlineStr" r="AV118"/>
      <x:c t="inlineStr" r="AW118">
        <x:is>
          <x:t/>
        </x:is>
      </x:c>
      <x:c t="inlineStr" r="AX118">
        <x:is>
          <x:t>text,poster</x:t>
        </x:is>
      </x:c>
      <x:c t="inlineStr" r="AY118">
        <x:is>
          <x:t/>
        </x:is>
      </x:c>
      <x:c t="inlineStr" r="AZ118">
        <x:is>
          <x:t/>
        </x:is>
      </x:c>
      <x:c t="inlineStr" r="BA118">
        <x:is>
          <x:t/>
        </x:is>
      </x:c>
      <x:c t="inlineStr" r="BB118">
        <x:is>
          <x:t>ILLUSTRATION</x:t>
        </x:is>
      </x:c>
      <x:c t="inlineStr" r="BC118">
        <x:is>
          <x:t>advertising</x:t>
        </x:is>
      </x:c>
      <x:c r="BD118">
        <x:f>HYPERLINK("https://pbs.twimg.com/media/HQB7GVVWMAEXXpH.jpg")</x:f>
      </x:c>
      <x:c t="inlineStr" r="BE118">
        <x:is>
          <x:t/>
        </x:is>
      </x:c>
      <x:c t="inlineStr" r="BF118">
        <x:is>
          <x:t>Não</x:t>
        </x:is>
      </x:c>
      <x:c t="inlineStr" r="BG118"/>
      <x:c t="inlineStr" r="BH118">
        <x:is>
          <x:t/>
        </x:is>
      </x:c>
      <x:c t="inlineStr" r="BI118">
        <x:is>
          <x:t>Promoção</x:t>
        </x:is>
      </x:c>
      <x:c t="inlineStr" r="BJ118">
        <x:is>
          <x:t>Ao resgatar seus ingressos de gramado pelo app KMV, você ainda ganha R$ 100 em vale-combustível</x:t>
        </x:is>
      </x:c>
      <x:c t="inlineStr" r="BK118">
        <x:is>
          <x:t>Ipiranga - Contas Oficiais,Franquia - Jet Oil,Franquia - AmPm,Ipimax,Campanha: Parada Completa,Ipiranga,App KMV,Rock In Rio</x:t>
        </x:is>
      </x:c>
      <x:c t="inlineStr" r="BL118"/>
      <x:c t="inlineStr" r="BM118"/>
      <x:c t="inlineStr" r="BN118"/>
      <x:c t="inlineStr" r="BO118"/>
      <x:c t="inlineStr" r="BP118"/>
      <x:c t="inlineStr" r="BQ118">
        <x:is>
          <x:t>Ipiranga - Contas Oficiais</x:t>
        </x:is>
      </x:c>
      <x:c t="inlineStr" r="BR118"/>
      <x:c t="inlineStr" r="BS118"/>
      <x:c t="inlineStr" r="BT118"/>
      <x:c t="inlineStr" r="BU118"/>
      <x:c t="inlineStr" r="BV118">
        <x:is>
          <x:t>Franquia - AmPm</x:t>
        </x:is>
      </x:c>
      <x:c t="inlineStr" r="BW118">
        <x:is>
          <x:t>Ipimax</x:t>
        </x:is>
      </x:c>
      <x:c t="inlineStr" r="BX118">
        <x:is>
          <x:t>Franquia - Jet Oil</x:t>
        </x:is>
      </x:c>
      <x:c t="inlineStr" r="BY118">
        <x:is>
          <x:t>Campanha: Parada Completa</x:t>
        </x:is>
      </x:c>
      <x:c t="inlineStr" r="BZ118">
        <x:is>
          <x:t>Ipiranga</x:t>
        </x:is>
      </x:c>
      <x:c t="inlineStr" r="CA118"/>
      <x:c t="inlineStr" r="CB118"/>
      <x:c t="inlineStr" r="CC118"/>
      <x:c t="inlineStr" r="CD118">
        <x:is>
          <x:t>App KMV</x:t>
        </x:is>
      </x:c>
      <x:c t="inlineStr" r="CE118">
        <x:is>
          <x:t>Rock In Rio</x:t>
        </x:is>
      </x:c>
      <x:c t="inlineStr" r="CF118"/>
    </x:row>
    <x:row r="119">
      <x:c t="n" r="A119">
        <x:v>611450383</x:v>
      </x:c>
      <x:c t="inlineStr" r="B119">
        <x:is>
          <x:t>21.08.2026</x:t>
        </x:is>
      </x:c>
      <x:c t="inlineStr" r="C119">
        <x:is>
          <x:t>12:17</x:t>
        </x:is>
      </x:c>
      <x:c t="inlineStr" r="D119">
        <x:is>
          <x:t>21.08.2026 21:33</x:t>
        </x:is>
      </x:c>
      <x:c t="inlineStr" r="E119">
        <x:is>
          <x:t/>
        </x:is>
      </x:c>
      <x:c t="str" r="F119">
        <x:v>Ingressos para o show que você esperava no Rock in Rio Brasil 2026 já estão disponíveis no app KMV!
 🎟️ 
Resgate seu ingresso de gramado usando pontos + dinheiro e ainda ganhe R$ 100 em vale-combustível. 
🚗 E, para deixar a experiência ainda mais completa, faça uma Parada Completa no Posto Ipiranga: abasteça com Ipimax, passe na AmPm ou no Jet Oil antes de seguir para o festival.
#Ipiranga #KMV #RockinRio2026</x:v>
      </x:c>
      <x:c t="inlineStr" r="G119">
        <x:is>
          <x:t/>
        </x:is>
      </x:c>
      <x:c t="inlineStr" r="H119"/>
      <x:c t="inlineStr" r="I119">
        <x:is>
          <x:t>Repost</x:t>
        </x:is>
      </x:c>
      <x:c t="inlineStr" r="J119">
        <x:is>
          <x:t>Imagem,Texto</x:t>
        </x:is>
      </x:c>
      <x:c t="inlineStr" r="K119"/>
      <x:c r="L119">
        <x:f>HYPERLINK("https://x.com/Analuiz46929682/status/2090820683357934050")</x:f>
      </x:c>
      <x:c t="inlineStr" r="M119">
        <x:is>
          <x:t>Negativo</x:t>
        </x:is>
      </x:c>
      <x:c t="inlineStr" r="N119">
        <x:is>
          <x:t>Analu &amp; That 🏳️‍🌈</x:t>
        </x:is>
      </x:c>
      <x:c t="inlineStr" r="O119">
        <x:is>
          <x:t>Analuiz46929682</x:t>
        </x:is>
      </x:c>
      <x:c r="P119">
        <x:f>HYPERLINK("http://x.com/Analuiz46929682")</x:f>
      </x:c>
      <x:c t="n" r="Q119">
        <x:v>123</x:v>
      </x:c>
      <x:c t="inlineStr" r="R119">
        <x:is>
          <x:t>Mulher</x:t>
        </x:is>
      </x:c>
      <x:c t="inlineStr" r="S119"/>
      <x:c t="inlineStr" r="T119">
        <x:is>
          <x:t>x.com</x:t>
        </x:is>
      </x:c>
      <x:c t="inlineStr" r="U119"/>
      <x:c t="inlineStr" r="V119"/>
      <x:c t="inlineStr" r="W119"/>
      <x:c t="inlineStr" r="X119"/>
      <x:c t="inlineStr" r="Y119">
        <x:is>
          <x:t>Rede social</x:t>
        </x:is>
      </x:c>
      <x:c t="inlineStr" r="Z119">
        <x:is>
          <x:t>Português</x:t>
        </x:is>
      </x:c>
      <x:c t="inlineStr" r="AA119">
        <x:is>
          <x:t>Brasil</x:t>
        </x:is>
      </x:c>
      <x:c t="inlineStr" r="AB119"/>
      <x:c t="inlineStr" r="AC119"/>
      <x:c t="inlineStr" r="AD119"/>
      <x:c t="inlineStr" r="AE119"/>
      <x:c t="n" r="AF119">
        <x:v>0</x:v>
      </x:c>
      <x:c t="inlineStr" r="AG119"/>
      <x:c t="inlineStr" r="AH119"/>
      <x:c t="inlineStr" r="AI119"/>
      <x:c t="inlineStr" r="AJ119"/>
      <x:c t="inlineStr" r="AK119"/>
      <x:c t="inlineStr" r="AL119"/>
      <x:c t="inlineStr" r="AM119"/>
      <x:c t="inlineStr" r="AN119"/>
      <x:c t="inlineStr" r="AO119"/>
      <x:c t="inlineStr" r="AP119"/>
      <x:c t="inlineStr" r="AQ119"/>
      <x:c t="inlineStr" r="AR119"/>
      <x:c t="inlineStr" r="AS119"/>
      <x:c t="inlineStr" r="AT119"/>
      <x:c t="n" r="AU119">
        <x:v>123</x:v>
      </x:c>
      <x:c t="inlineStr" r="AV119"/>
      <x:c t="inlineStr" r="AW119">
        <x:is>
          <x:t/>
        </x:is>
      </x:c>
      <x:c t="inlineStr" r="AX119">
        <x:is>
          <x:t>text,poster</x:t>
        </x:is>
      </x:c>
      <x:c t="inlineStr" r="AY119">
        <x:is>
          <x:t/>
        </x:is>
      </x:c>
      <x:c t="inlineStr" r="AZ119">
        <x:is>
          <x:t/>
        </x:is>
      </x:c>
      <x:c t="inlineStr" r="BA119">
        <x:is>
          <x:t/>
        </x:is>
      </x:c>
      <x:c t="inlineStr" r="BB119">
        <x:is>
          <x:t>ILLUSTRATION</x:t>
        </x:is>
      </x:c>
      <x:c t="inlineStr" r="BC119">
        <x:is>
          <x:t>advertising</x:t>
        </x:is>
      </x:c>
      <x:c r="BD119">
        <x:f>HYPERLINK("https://pbs.twimg.com/media/HQB7GVVWMAEXXpH.jpg")</x:f>
      </x:c>
      <x:c t="inlineStr" r="BE119">
        <x:is>
          <x:t/>
        </x:is>
      </x:c>
      <x:c t="inlineStr" r="BF119">
        <x:is>
          <x:t>Não</x:t>
        </x:is>
      </x:c>
      <x:c t="inlineStr" r="BG119"/>
      <x:c t="inlineStr" r="BH119">
        <x:is>
          <x:t/>
        </x:is>
      </x:c>
      <x:c t="inlineStr" r="BI119">
        <x:is>
          <x:t>Promoção</x:t>
        </x:is>
      </x:c>
      <x:c t="inlineStr" r="BJ119">
        <x:is>
          <x:t>Ao resgatar seus ingressos de gramado pelo app KMV, você ainda ganha R$ 100 em vale-combustível</x:t>
        </x:is>
      </x:c>
      <x:c t="inlineStr" r="BK119">
        <x:is>
          <x:t>Franquia - Jet Oil,Franquia - AmPm,Ipimax,Campanha: Parada Completa,Ipiranga,App KMV,Rock In Rio</x:t>
        </x:is>
      </x:c>
      <x:c t="inlineStr" r="BL119"/>
      <x:c t="inlineStr" r="BM119"/>
      <x:c t="inlineStr" r="BN119"/>
      <x:c t="inlineStr" r="BO119"/>
      <x:c t="inlineStr" r="BP119"/>
      <x:c t="inlineStr" r="BQ119"/>
      <x:c t="inlineStr" r="BR119"/>
      <x:c t="inlineStr" r="BS119"/>
      <x:c t="inlineStr" r="BT119"/>
      <x:c t="inlineStr" r="BU119"/>
      <x:c t="inlineStr" r="BV119">
        <x:is>
          <x:t>Franquia - AmPm</x:t>
        </x:is>
      </x:c>
      <x:c t="inlineStr" r="BW119">
        <x:is>
          <x:t>Ipimax</x:t>
        </x:is>
      </x:c>
      <x:c t="inlineStr" r="BX119">
        <x:is>
          <x:t>Franquia - Jet Oil</x:t>
        </x:is>
      </x:c>
      <x:c t="inlineStr" r="BY119">
        <x:is>
          <x:t>Campanha: Parada Completa</x:t>
        </x:is>
      </x:c>
      <x:c t="inlineStr" r="BZ119">
        <x:is>
          <x:t>Ipiranga</x:t>
        </x:is>
      </x:c>
      <x:c t="inlineStr" r="CA119"/>
      <x:c t="inlineStr" r="CB119"/>
      <x:c t="inlineStr" r="CC119"/>
      <x:c t="inlineStr" r="CD119">
        <x:is>
          <x:t>App KMV</x:t>
        </x:is>
      </x:c>
      <x:c t="inlineStr" r="CE119">
        <x:is>
          <x:t>Rock In Rio</x:t>
        </x:is>
      </x:c>
      <x:c t="inlineStr" r="CF119"/>
    </x:row>
    <x:row r="120">
      <x:c t="n" r="A120">
        <x:v>1439089127</x:v>
      </x:c>
      <x:c t="inlineStr" r="B120">
        <x:is>
          <x:t>21.08.2026</x:t>
        </x:is>
      </x:c>
      <x:c t="inlineStr" r="C120">
        <x:is>
          <x:t>12:13</x:t>
        </x:is>
      </x:c>
      <x:c t="inlineStr" r="D120">
        <x:is>
          <x:t>02.09.2026 02:40</x:t>
        </x:is>
      </x:c>
      <x:c t="inlineStr" r="E120">
        <x:is>
          <x:t/>
        </x:is>
      </x:c>
      <x:c t="inlineStr" r="F120">
        <x:is>
          <x:t>preciso de alguém que já foi no rock in rio pra me dizer se aquele posto ipiranga lá da mesma calçada da cidade do rock ainda existe e se tem como parar carro lá ou realmente fica tudo fechado no dia do festival</x:t>
        </x:is>
      </x:c>
      <x:c t="inlineStr" r="G120">
        <x:is>
          <x:t/>
        </x:is>
      </x:c>
      <x:c t="inlineStr" r="H120"/>
      <x:c t="inlineStr" r="I120">
        <x:is>
          <x:t>Postar</x:t>
        </x:is>
      </x:c>
      <x:c t="inlineStr" r="J120">
        <x:is>
          <x:t>Texto</x:t>
        </x:is>
      </x:c>
      <x:c t="inlineStr" r="K120"/>
      <x:c r="L120">
        <x:f>HYPERLINK("https://x.com/lgbtmangi/status/2090819485544354050")</x:f>
      </x:c>
      <x:c t="inlineStr" r="M120">
        <x:is>
          <x:t>Negativo</x:t>
        </x:is>
      </x:c>
      <x:c t="inlineStr" r="N120">
        <x:is>
          <x:t>leti! vai ver o skz dnv</x:t>
        </x:is>
      </x:c>
      <x:c t="inlineStr" r="O120">
        <x:is>
          <x:t>lgbtmangi</x:t>
        </x:is>
      </x:c>
      <x:c r="P120">
        <x:f>HYPERLINK("http://x.com/lgbtmangi")</x:f>
      </x:c>
      <x:c t="n" r="Q120">
        <x:v>1912</x:v>
      </x:c>
      <x:c t="inlineStr" r="R120"/>
      <x:c t="inlineStr" r="S120"/>
      <x:c t="inlineStr" r="T120">
        <x:is>
          <x:t>x.com</x:t>
        </x:is>
      </x:c>
      <x:c t="inlineStr" r="U120"/>
      <x:c t="inlineStr" r="V120"/>
      <x:c t="inlineStr" r="W120"/>
      <x:c t="inlineStr" r="X120"/>
      <x:c t="inlineStr" r="Y120">
        <x:is>
          <x:t>Rede social</x:t>
        </x:is>
      </x:c>
      <x:c t="inlineStr" r="Z120">
        <x:is>
          <x:t>Português</x:t>
        </x:is>
      </x:c>
      <x:c t="inlineStr" r="AA120">
        <x:is>
          <x:t>Brasil</x:t>
        </x:is>
      </x:c>
      <x:c t="inlineStr" r="AB120"/>
      <x:c t="inlineStr" r="AC120"/>
      <x:c t="inlineStr" r="AD120"/>
      <x:c t="inlineStr" r="AE120"/>
      <x:c t="n" r="AF120">
        <x:v>0</x:v>
      </x:c>
      <x:c t="inlineStr" r="AG120"/>
      <x:c t="inlineStr" r="AH120"/>
      <x:c t="inlineStr" r="AI120"/>
      <x:c t="inlineStr" r="AJ120"/>
      <x:c t="inlineStr" r="AK120"/>
      <x:c t="inlineStr" r="AL120"/>
      <x:c t="inlineStr" r="AM120"/>
      <x:c t="inlineStr" r="AN120"/>
      <x:c t="inlineStr" r="AO120"/>
      <x:c t="inlineStr" r="AP120"/>
      <x:c t="n" r="AQ120">
        <x:v>36</x:v>
      </x:c>
      <x:c t="inlineStr" r="AR120"/>
      <x:c t="inlineStr" r="AS120"/>
      <x:c t="inlineStr" r="AT120"/>
      <x:c t="n" r="AU120">
        <x:v>1912</x:v>
      </x:c>
      <x:c t="inlineStr" r="AV120"/>
      <x:c t="inlineStr" r="AW120"/>
      <x:c t="inlineStr" r="AX120"/>
      <x:c t="inlineStr" r="AY120"/>
      <x:c t="inlineStr" r="AZ120"/>
      <x:c t="inlineStr" r="BA120"/>
      <x:c t="inlineStr" r="BB120"/>
      <x:c t="inlineStr" r="BC120"/>
      <x:c t="inlineStr" r="BD120"/>
      <x:c t="inlineStr" r="BE120">
        <x:is>
          <x:t/>
        </x:is>
      </x:c>
      <x:c t="inlineStr" r="BF120">
        <x:is>
          <x:t>Não</x:t>
        </x:is>
      </x:c>
      <x:c t="inlineStr" r="BG120">
        <x:is>
          <x:t>Localização_Neutro</x:t>
        </x:is>
      </x:c>
      <x:c t="inlineStr" r="BH120">
        <x:is>
          <x:t>Turismo</x:t>
        </x:is>
      </x:c>
      <x:c t="inlineStr" r="BI120">
        <x:is>
          <x:t>WOM</x:t>
        </x:is>
      </x:c>
      <x:c t="inlineStr" r="BJ120"/>
      <x:c t="inlineStr" r="BK120">
        <x:is>
          <x:t>Ipiranga,Rock In Rio</x:t>
        </x:is>
      </x:c>
      <x:c t="inlineStr" r="BL120"/>
      <x:c t="inlineStr" r="BM120"/>
      <x:c t="inlineStr" r="BN120"/>
      <x:c t="inlineStr" r="BO120"/>
      <x:c t="inlineStr" r="BP120"/>
      <x:c t="inlineStr" r="BQ120"/>
      <x:c t="inlineStr" r="BR120"/>
      <x:c t="inlineStr" r="BS120"/>
      <x:c t="inlineStr" r="BT120"/>
      <x:c t="inlineStr" r="BU120"/>
      <x:c t="inlineStr" r="BV120"/>
      <x:c t="inlineStr" r="BW120"/>
      <x:c t="inlineStr" r="BX120"/>
      <x:c t="inlineStr" r="BY120"/>
      <x:c t="inlineStr" r="BZ120">
        <x:is>
          <x:t>Ipiranga</x:t>
        </x:is>
      </x:c>
      <x:c t="inlineStr" r="CA120"/>
      <x:c t="inlineStr" r="CB120"/>
      <x:c t="inlineStr" r="CC120"/>
      <x:c t="inlineStr" r="CD120"/>
      <x:c t="inlineStr" r="CE120">
        <x:is>
          <x:t>Rock In Rio</x:t>
        </x:is>
      </x:c>
      <x:c t="inlineStr" r="CF120"/>
    </x:row>
    <x:row r="121">
      <x:c t="n" r="A121">
        <x:v>3842464451</x:v>
      </x:c>
      <x:c t="inlineStr" r="B121">
        <x:is>
          <x:t>21.08.2026</x:t>
        </x:is>
      </x:c>
      <x:c t="inlineStr" r="C121">
        <x:is>
          <x:t>11:24</x:t>
        </x:is>
      </x:c>
      <x:c t="inlineStr" r="D121">
        <x:is>
          <x:t>23.08.2026 16:01</x:t>
        </x:is>
      </x:c>
      <x:c t="inlineStr" r="E121">
        <x:is>
          <x:t/>
        </x:is>
      </x:c>
      <x:c t="str" r="F121">
        <x:v>Ingressos para o show que você esperava no Rock in Rio Brasil 2026 já estão disponíveis no app KMV!
 🎟️ 
Resgate seu ingresso de gramado usando pontos + dinheiro e ainda ganhe R$ 100 em vale-combustível. 
🚗 E, para deixar a experiência ainda mais completa, faça uma Parada Completa no Posto Ipiranga: abasteça com Ipimax, passe na AmPm ou no Jet Oil antes de seguir para o festival.
#Ipiranga #KMV #RockinRio2026</x:v>
      </x:c>
      <x:c t="inlineStr" r="G121">
        <x:is>
          <x:t/>
        </x:is>
      </x:c>
      <x:c t="inlineStr" r="H121"/>
      <x:c t="inlineStr" r="I121">
        <x:is>
          <x:t>Repost</x:t>
        </x:is>
      </x:c>
      <x:c t="inlineStr" r="J121">
        <x:is>
          <x:t>Imagem,Texto</x:t>
        </x:is>
      </x:c>
      <x:c t="inlineStr" r="K121"/>
      <x:c r="L121">
        <x:f>HYPERLINK("https://x.com/dawikkbin/status/2090807289036870016")</x:f>
      </x:c>
      <x:c t="inlineStr" r="M121">
        <x:is>
          <x:t>Negativo</x:t>
        </x:is>
      </x:c>
      <x:c t="inlineStr" r="N121">
        <x:is>
          <x:t>Annie do Changbin / KARMA🏆</x:t>
        </x:is>
      </x:c>
      <x:c t="inlineStr" r="O121">
        <x:is>
          <x:t>dawikkbin</x:t>
        </x:is>
      </x:c>
      <x:c r="P121">
        <x:f>HYPERLINK("http://x.com/dawikkbin")</x:f>
      </x:c>
      <x:c t="n" r="Q121">
        <x:v>272</x:v>
      </x:c>
      <x:c t="inlineStr" r="R121">
        <x:is>
          <x:t>Mulher</x:t>
        </x:is>
      </x:c>
      <x:c t="inlineStr" r="S121"/>
      <x:c t="inlineStr" r="T121">
        <x:is>
          <x:t>x.com</x:t>
        </x:is>
      </x:c>
      <x:c t="inlineStr" r="U121"/>
      <x:c t="inlineStr" r="V121"/>
      <x:c t="inlineStr" r="W121"/>
      <x:c t="inlineStr" r="X121"/>
      <x:c t="inlineStr" r="Y121">
        <x:is>
          <x:t>Rede social</x:t>
        </x:is>
      </x:c>
      <x:c t="inlineStr" r="Z121">
        <x:is>
          <x:t>Português</x:t>
        </x:is>
      </x:c>
      <x:c t="inlineStr" r="AA121">
        <x:is>
          <x:t>Brasil</x:t>
        </x:is>
      </x:c>
      <x:c t="inlineStr" r="AB121"/>
      <x:c t="inlineStr" r="AC121"/>
      <x:c t="inlineStr" r="AD121"/>
      <x:c t="inlineStr" r="AE121"/>
      <x:c t="n" r="AF121">
        <x:v>0</x:v>
      </x:c>
      <x:c t="inlineStr" r="AG121"/>
      <x:c t="inlineStr" r="AH121"/>
      <x:c t="inlineStr" r="AI121"/>
      <x:c t="inlineStr" r="AJ121"/>
      <x:c t="inlineStr" r="AK121"/>
      <x:c t="inlineStr" r="AL121"/>
      <x:c t="inlineStr" r="AM121"/>
      <x:c t="inlineStr" r="AN121"/>
      <x:c t="inlineStr" r="AO121"/>
      <x:c t="inlineStr" r="AP121"/>
      <x:c t="inlineStr" r="AQ121"/>
      <x:c t="inlineStr" r="AR121"/>
      <x:c t="inlineStr" r="AS121"/>
      <x:c t="inlineStr" r="AT121"/>
      <x:c t="n" r="AU121">
        <x:v>272</x:v>
      </x:c>
      <x:c t="inlineStr" r="AV121"/>
      <x:c t="inlineStr" r="AW121">
        <x:is>
          <x:t/>
        </x:is>
      </x:c>
      <x:c t="inlineStr" r="AX121">
        <x:is>
          <x:t>text,poster</x:t>
        </x:is>
      </x:c>
      <x:c t="inlineStr" r="AY121">
        <x:is>
          <x:t/>
        </x:is>
      </x:c>
      <x:c t="inlineStr" r="AZ121">
        <x:is>
          <x:t/>
        </x:is>
      </x:c>
      <x:c t="inlineStr" r="BA121">
        <x:is>
          <x:t/>
        </x:is>
      </x:c>
      <x:c t="inlineStr" r="BB121">
        <x:is>
          <x:t>ILLUSTRATION</x:t>
        </x:is>
      </x:c>
      <x:c t="inlineStr" r="BC121">
        <x:is>
          <x:t>advertising</x:t>
        </x:is>
      </x:c>
      <x:c r="BD121">
        <x:f>HYPERLINK("https://pbs.twimg.com/media/HQB7GVVWMAEXXpH.jpg")</x:f>
      </x:c>
      <x:c t="inlineStr" r="BE121">
        <x:is>
          <x:t/>
        </x:is>
      </x:c>
      <x:c t="inlineStr" r="BF121">
        <x:is>
          <x:t>Não</x:t>
        </x:is>
      </x:c>
      <x:c t="inlineStr" r="BG121"/>
      <x:c t="inlineStr" r="BH121">
        <x:is>
          <x:t/>
        </x:is>
      </x:c>
      <x:c t="inlineStr" r="BI121">
        <x:is>
          <x:t>Promoção</x:t>
        </x:is>
      </x:c>
      <x:c t="inlineStr" r="BJ121">
        <x:is>
          <x:t>Ao resgatar seus ingressos de gramado pelo app KMV, você ainda ganha R$ 100 em vale-combustível</x:t>
        </x:is>
      </x:c>
      <x:c t="inlineStr" r="BK121">
        <x:is>
          <x:t>Franquia - Jet Oil,Franquia - AmPm,Ipimax,Campanha: Parada Completa,Ipiranga,App KMV,Rock In Rio</x:t>
        </x:is>
      </x:c>
      <x:c t="inlineStr" r="BL121"/>
      <x:c t="inlineStr" r="BM121"/>
      <x:c t="inlineStr" r="BN121"/>
      <x:c t="inlineStr" r="BO121"/>
      <x:c t="inlineStr" r="BP121"/>
      <x:c t="inlineStr" r="BQ121"/>
      <x:c t="inlineStr" r="BR121"/>
      <x:c t="inlineStr" r="BS121"/>
      <x:c t="inlineStr" r="BT121"/>
      <x:c t="inlineStr" r="BU121"/>
      <x:c t="inlineStr" r="BV121">
        <x:is>
          <x:t>Franquia - AmPm</x:t>
        </x:is>
      </x:c>
      <x:c t="inlineStr" r="BW121">
        <x:is>
          <x:t>Ipimax</x:t>
        </x:is>
      </x:c>
      <x:c t="inlineStr" r="BX121">
        <x:is>
          <x:t>Franquia - Jet Oil</x:t>
        </x:is>
      </x:c>
      <x:c t="inlineStr" r="BY121">
        <x:is>
          <x:t>Campanha: Parada Completa</x:t>
        </x:is>
      </x:c>
      <x:c t="inlineStr" r="BZ121">
        <x:is>
          <x:t>Ipiranga</x:t>
        </x:is>
      </x:c>
      <x:c t="inlineStr" r="CA121"/>
      <x:c t="inlineStr" r="CB121"/>
      <x:c t="inlineStr" r="CC121"/>
      <x:c t="inlineStr" r="CD121">
        <x:is>
          <x:t>App KMV</x:t>
        </x:is>
      </x:c>
      <x:c t="inlineStr" r="CE121">
        <x:is>
          <x:t>Rock In Rio</x:t>
        </x:is>
      </x:c>
      <x:c t="inlineStr" r="CF121"/>
    </x:row>
    <x:row r="122">
      <x:c t="n" r="A122">
        <x:v>199700646</x:v>
      </x:c>
      <x:c t="inlineStr" r="B122">
        <x:is>
          <x:t>20.08.2026</x:t>
        </x:is>
      </x:c>
      <x:c t="inlineStr" r="C122">
        <x:is>
          <x:t>21:45</x:t>
        </x:is>
      </x:c>
      <x:c t="inlineStr" r="D122">
        <x:is>
          <x:t>21.08.2026 00:38</x:t>
        </x:is>
      </x:c>
      <x:c t="inlineStr" r="E122">
        <x:is>
          <x:t/>
        </x:is>
      </x:c>
      <x:c t="str" r="F122">
        <x:v>Ingressos para o show que você esperava no Rock in Rio Brasil 2026 já estão disponíveis no app KMV!
 🎟️ 
Resgate seu ingresso de gramado usando pontos + dinheiro e ainda ganhe R$ 100 em vale-combustível. 
🚗 E, para deixar a experiência ainda mais completa, faça uma Parada Completa no Posto Ipiranga: abasteça com Ipimax, passe na AmPm ou no Jet Oil antes de seguir para o festival.
#Ipiranga #KMV #RockinRio2026</x:v>
      </x:c>
      <x:c t="inlineStr" r="G122">
        <x:is>
          <x:t/>
        </x:is>
      </x:c>
      <x:c t="inlineStr" r="H122"/>
      <x:c t="inlineStr" r="I122">
        <x:is>
          <x:t>Repost</x:t>
        </x:is>
      </x:c>
      <x:c t="inlineStr" r="J122">
        <x:is>
          <x:t>Imagem,Texto</x:t>
        </x:is>
      </x:c>
      <x:c t="inlineStr" r="K122"/>
      <x:c r="L122">
        <x:f>HYPERLINK("https://x.com/kimalinezinha/status/2090601210915025036")</x:f>
      </x:c>
      <x:c t="inlineStr" r="M122">
        <x:is>
          <x:t>Negativo</x:t>
        </x:is>
      </x:c>
      <x:c t="inlineStr" r="N122">
        <x:is>
          <x:t>🧚🏼‍♀️</x:t>
        </x:is>
      </x:c>
      <x:c t="inlineStr" r="O122">
        <x:is>
          <x:t>kimalinezinha</x:t>
        </x:is>
      </x:c>
      <x:c r="P122">
        <x:f>HYPERLINK("http://x.com/kimalinezinha")</x:f>
      </x:c>
      <x:c t="n" r="Q122">
        <x:v>26</x:v>
      </x:c>
      <x:c t="inlineStr" r="R122"/>
      <x:c t="inlineStr" r="S122"/>
      <x:c t="inlineStr" r="T122">
        <x:is>
          <x:t>x.com</x:t>
        </x:is>
      </x:c>
      <x:c t="inlineStr" r="U122"/>
      <x:c t="inlineStr" r="V122"/>
      <x:c t="inlineStr" r="W122"/>
      <x:c t="inlineStr" r="X122"/>
      <x:c t="inlineStr" r="Y122">
        <x:is>
          <x:t>Rede social</x:t>
        </x:is>
      </x:c>
      <x:c t="inlineStr" r="Z122">
        <x:is>
          <x:t>Português</x:t>
        </x:is>
      </x:c>
      <x:c t="inlineStr" r="AA122">
        <x:is>
          <x:t>Brasil</x:t>
        </x:is>
      </x:c>
      <x:c t="inlineStr" r="AB122"/>
      <x:c t="inlineStr" r="AC122"/>
      <x:c t="inlineStr" r="AD122"/>
      <x:c t="inlineStr" r="AE122"/>
      <x:c t="n" r="AF122">
        <x:v>0</x:v>
      </x:c>
      <x:c t="inlineStr" r="AG122"/>
      <x:c t="inlineStr" r="AH122"/>
      <x:c t="inlineStr" r="AI122"/>
      <x:c t="inlineStr" r="AJ122"/>
      <x:c t="inlineStr" r="AK122"/>
      <x:c t="inlineStr" r="AL122"/>
      <x:c t="inlineStr" r="AM122"/>
      <x:c t="inlineStr" r="AN122"/>
      <x:c t="inlineStr" r="AO122"/>
      <x:c t="inlineStr" r="AP122"/>
      <x:c t="inlineStr" r="AQ122"/>
      <x:c t="inlineStr" r="AR122"/>
      <x:c t="inlineStr" r="AS122"/>
      <x:c t="inlineStr" r="AT122"/>
      <x:c t="n" r="AU122">
        <x:v>26</x:v>
      </x:c>
      <x:c t="inlineStr" r="AV122"/>
      <x:c t="inlineStr" r="AW122">
        <x:is>
          <x:t/>
        </x:is>
      </x:c>
      <x:c t="inlineStr" r="AX122">
        <x:is>
          <x:t>text,poster</x:t>
        </x:is>
      </x:c>
      <x:c t="inlineStr" r="AY122">
        <x:is>
          <x:t/>
        </x:is>
      </x:c>
      <x:c t="inlineStr" r="AZ122">
        <x:is>
          <x:t/>
        </x:is>
      </x:c>
      <x:c t="inlineStr" r="BA122">
        <x:is>
          <x:t/>
        </x:is>
      </x:c>
      <x:c t="inlineStr" r="BB122">
        <x:is>
          <x:t>ILLUSTRATION</x:t>
        </x:is>
      </x:c>
      <x:c t="inlineStr" r="BC122">
        <x:is>
          <x:t>advertising</x:t>
        </x:is>
      </x:c>
      <x:c r="BD122">
        <x:f>HYPERLINK("https://pbs.twimg.com/media/HQB7GVVWMAEXXpH.jpg")</x:f>
      </x:c>
      <x:c t="inlineStr" r="BE122">
        <x:is>
          <x:t/>
        </x:is>
      </x:c>
      <x:c t="inlineStr" r="BF122">
        <x:is>
          <x:t>Não</x:t>
        </x:is>
      </x:c>
      <x:c t="inlineStr" r="BG122"/>
      <x:c t="inlineStr" r="BH122">
        <x:is>
          <x:t/>
        </x:is>
      </x:c>
      <x:c t="inlineStr" r="BI122">
        <x:is>
          <x:t>Promoção</x:t>
        </x:is>
      </x:c>
      <x:c t="inlineStr" r="BJ122">
        <x:is>
          <x:t>Ao resgatar seus ingressos de gramado pelo app KMV, você ainda ganha R$ 100 em vale-combustível</x:t>
        </x:is>
      </x:c>
      <x:c t="inlineStr" r="BK122">
        <x:is>
          <x:t>Franquia - Jet Oil,Franquia - AmPm,Ipimax,Campanha: Parada Completa,Ipiranga,App KMV,Rock In Rio</x:t>
        </x:is>
      </x:c>
      <x:c t="inlineStr" r="BL122"/>
      <x:c t="inlineStr" r="BM122"/>
      <x:c t="inlineStr" r="BN122"/>
      <x:c t="inlineStr" r="BO122"/>
      <x:c t="inlineStr" r="BP122"/>
      <x:c t="inlineStr" r="BQ122"/>
      <x:c t="inlineStr" r="BR122"/>
      <x:c t="inlineStr" r="BS122"/>
      <x:c t="inlineStr" r="BT122"/>
      <x:c t="inlineStr" r="BU122"/>
      <x:c t="inlineStr" r="BV122">
        <x:is>
          <x:t>Franquia - AmPm</x:t>
        </x:is>
      </x:c>
      <x:c t="inlineStr" r="BW122">
        <x:is>
          <x:t>Ipimax</x:t>
        </x:is>
      </x:c>
      <x:c t="inlineStr" r="BX122">
        <x:is>
          <x:t>Franquia - Jet Oil</x:t>
        </x:is>
      </x:c>
      <x:c t="inlineStr" r="BY122">
        <x:is>
          <x:t>Campanha: Parada Completa</x:t>
        </x:is>
      </x:c>
      <x:c t="inlineStr" r="BZ122">
        <x:is>
          <x:t>Ipiranga</x:t>
        </x:is>
      </x:c>
      <x:c t="inlineStr" r="CA122"/>
      <x:c t="inlineStr" r="CB122"/>
      <x:c t="inlineStr" r="CC122"/>
      <x:c t="inlineStr" r="CD122">
        <x:is>
          <x:t>App KMV</x:t>
        </x:is>
      </x:c>
      <x:c t="inlineStr" r="CE122">
        <x:is>
          <x:t>Rock In Rio</x:t>
        </x:is>
      </x:c>
      <x:c t="inlineStr" r="CF122"/>
    </x:row>
    <x:row r="123">
      <x:c t="n" r="A123">
        <x:v>2579779807</x:v>
      </x:c>
      <x:c t="inlineStr" r="B123">
        <x:is>
          <x:t>20.08.2026</x:t>
        </x:is>
      </x:c>
      <x:c t="inlineStr" r="C123">
        <x:is>
          <x:t>17:57</x:t>
        </x:is>
      </x:c>
      <x:c t="inlineStr" r="D123">
        <x:is>
          <x:t>22.08.2026 06:11</x:t>
        </x:is>
      </x:c>
      <x:c t="inlineStr" r="E123">
        <x:is>
          <x:t/>
        </x:is>
      </x:c>
      <x:c t="str" r="F123">
        <x:v>Ingressos para o show que você esperava no Rock in Rio Brasil 2026 já estão disponíveis no app KMV!
 🎟️ 
Resgate seu ingresso de gramado usando pontos + dinheiro e ainda ganhe R$ 100 em vale-combustível. 
🚗 E, para deixar a experiência ainda mais completa, faça uma Parada Completa no Posto Ipiranga: abasteça com Ipimax, passe na AmPm ou no Jet Oil antes de seguir para o festival.
#Ipiranga #KMV #RockinRio2026</x:v>
      </x:c>
      <x:c t="inlineStr" r="G123">
        <x:is>
          <x:t/>
        </x:is>
      </x:c>
      <x:c t="inlineStr" r="H123"/>
      <x:c t="inlineStr" r="I123">
        <x:is>
          <x:t>Repost</x:t>
        </x:is>
      </x:c>
      <x:c t="inlineStr" r="J123">
        <x:is>
          <x:t>Imagem,Texto</x:t>
        </x:is>
      </x:c>
      <x:c t="inlineStr" r="K123"/>
      <x:c r="L123">
        <x:f>HYPERLINK("https://x.com/Pskylia/status/2090543881301418100")</x:f>
      </x:c>
      <x:c t="inlineStr" r="M123">
        <x:is>
          <x:t>Negativo</x:t>
        </x:is>
      </x:c>
      <x:c t="inlineStr" r="N123">
        <x:is>
          <x:t>𝐒𝐤𝐲 樂 𝓡𝓾𝓷 𝓲𝓽</x:t>
        </x:is>
      </x:c>
      <x:c t="inlineStr" r="O123">
        <x:is>
          <x:t>Pskylia</x:t>
        </x:is>
      </x:c>
      <x:c r="P123">
        <x:f>HYPERLINK("http://x.com/Pskylia")</x:f>
      </x:c>
      <x:c t="n" r="Q123">
        <x:v>317</x:v>
      </x:c>
      <x:c t="inlineStr" r="R123"/>
      <x:c t="inlineStr" r="S123"/>
      <x:c t="inlineStr" r="T123">
        <x:is>
          <x:t>x.com</x:t>
        </x:is>
      </x:c>
      <x:c t="inlineStr" r="U123"/>
      <x:c t="inlineStr" r="V123"/>
      <x:c t="inlineStr" r="W123"/>
      <x:c t="inlineStr" r="X123"/>
      <x:c t="inlineStr" r="Y123">
        <x:is>
          <x:t>Rede social</x:t>
        </x:is>
      </x:c>
      <x:c t="inlineStr" r="Z123">
        <x:is>
          <x:t>Português</x:t>
        </x:is>
      </x:c>
      <x:c t="inlineStr" r="AA123">
        <x:is>
          <x:t>Brasil</x:t>
        </x:is>
      </x:c>
      <x:c t="inlineStr" r="AB123"/>
      <x:c t="inlineStr" r="AC123"/>
      <x:c t="inlineStr" r="AD123"/>
      <x:c t="inlineStr" r="AE123"/>
      <x:c t="n" r="AF123">
        <x:v>0</x:v>
      </x:c>
      <x:c t="inlineStr" r="AG123"/>
      <x:c t="inlineStr" r="AH123"/>
      <x:c t="inlineStr" r="AI123"/>
      <x:c t="inlineStr" r="AJ123"/>
      <x:c t="inlineStr" r="AK123"/>
      <x:c t="inlineStr" r="AL123"/>
      <x:c t="inlineStr" r="AM123"/>
      <x:c t="inlineStr" r="AN123"/>
      <x:c t="inlineStr" r="AO123"/>
      <x:c t="inlineStr" r="AP123"/>
      <x:c t="inlineStr" r="AQ123"/>
      <x:c t="inlineStr" r="AR123"/>
      <x:c t="inlineStr" r="AS123"/>
      <x:c t="inlineStr" r="AT123"/>
      <x:c t="n" r="AU123">
        <x:v>317</x:v>
      </x:c>
      <x:c t="inlineStr" r="AV123"/>
      <x:c t="inlineStr" r="AW123">
        <x:is>
          <x:t/>
        </x:is>
      </x:c>
      <x:c t="inlineStr" r="AX123">
        <x:is>
          <x:t>text,poster</x:t>
        </x:is>
      </x:c>
      <x:c t="inlineStr" r="AY123">
        <x:is>
          <x:t/>
        </x:is>
      </x:c>
      <x:c t="inlineStr" r="AZ123">
        <x:is>
          <x:t/>
        </x:is>
      </x:c>
      <x:c t="inlineStr" r="BA123">
        <x:is>
          <x:t/>
        </x:is>
      </x:c>
      <x:c t="inlineStr" r="BB123">
        <x:is>
          <x:t>ILLUSTRATION</x:t>
        </x:is>
      </x:c>
      <x:c t="inlineStr" r="BC123">
        <x:is>
          <x:t>advertising</x:t>
        </x:is>
      </x:c>
      <x:c r="BD123">
        <x:f>HYPERLINK("https://pbs.twimg.com/media/HQB7GVVWMAEXXpH.jpg")</x:f>
      </x:c>
      <x:c t="inlineStr" r="BE123">
        <x:is>
          <x:t/>
        </x:is>
      </x:c>
      <x:c t="inlineStr" r="BF123">
        <x:is>
          <x:t>Não</x:t>
        </x:is>
      </x:c>
      <x:c t="inlineStr" r="BG123"/>
      <x:c t="inlineStr" r="BH123">
        <x:is>
          <x:t/>
        </x:is>
      </x:c>
      <x:c t="inlineStr" r="BI123">
        <x:is>
          <x:t>Promoção</x:t>
        </x:is>
      </x:c>
      <x:c t="inlineStr" r="BJ123">
        <x:is>
          <x:t>Ao resgatar seus ingressos de gramado pelo app KMV, você ainda ganha R$ 100 em vale-combustível</x:t>
        </x:is>
      </x:c>
      <x:c t="inlineStr" r="BK123">
        <x:is>
          <x:t>Franquia - Jet Oil,Franquia - AmPm,Ipimax,Campanha: Parada Completa,Ipiranga,App KMV,Rock In Rio</x:t>
        </x:is>
      </x:c>
      <x:c t="inlineStr" r="BL123"/>
      <x:c t="inlineStr" r="BM123"/>
      <x:c t="inlineStr" r="BN123"/>
      <x:c t="inlineStr" r="BO123"/>
      <x:c t="inlineStr" r="BP123"/>
      <x:c t="inlineStr" r="BQ123"/>
      <x:c t="inlineStr" r="BR123"/>
      <x:c t="inlineStr" r="BS123"/>
      <x:c t="inlineStr" r="BT123"/>
      <x:c t="inlineStr" r="BU123"/>
      <x:c t="inlineStr" r="BV123">
        <x:is>
          <x:t>Franquia - AmPm</x:t>
        </x:is>
      </x:c>
      <x:c t="inlineStr" r="BW123">
        <x:is>
          <x:t>Ipimax</x:t>
        </x:is>
      </x:c>
      <x:c t="inlineStr" r="BX123">
        <x:is>
          <x:t>Franquia - Jet Oil</x:t>
        </x:is>
      </x:c>
      <x:c t="inlineStr" r="BY123">
        <x:is>
          <x:t>Campanha: Parada Completa</x:t>
        </x:is>
      </x:c>
      <x:c t="inlineStr" r="BZ123">
        <x:is>
          <x:t>Ipiranga</x:t>
        </x:is>
      </x:c>
      <x:c t="inlineStr" r="CA123"/>
      <x:c t="inlineStr" r="CB123"/>
      <x:c t="inlineStr" r="CC123"/>
      <x:c t="inlineStr" r="CD123">
        <x:is>
          <x:t>App KMV</x:t>
        </x:is>
      </x:c>
      <x:c t="inlineStr" r="CE123">
        <x:is>
          <x:t>Rock In Rio</x:t>
        </x:is>
      </x:c>
      <x:c t="inlineStr" r="CF123"/>
    </x:row>
    <x:row r="124">
      <x:c t="n" r="A124">
        <x:v>2025456981</x:v>
      </x:c>
      <x:c t="inlineStr" r="B124">
        <x:is>
          <x:t>20.08.2026</x:t>
        </x:is>
      </x:c>
      <x:c t="inlineStr" r="C124">
        <x:is>
          <x:t>17:33</x:t>
        </x:is>
      </x:c>
      <x:c t="inlineStr" r="D124">
        <x:is>
          <x:t>21.08.2026 02:38</x:t>
        </x:is>
      </x:c>
      <x:c t="inlineStr" r="E124">
        <x:is>
          <x:t/>
        </x:is>
      </x:c>
      <x:c t="str" r="F124">
        <x:v>Ingressos para o show que você esperava no Rock in Rio Brasil 2026 já estão disponíveis no app KMV!
 🎟️ 
Resgate seu ingresso de gramado usando pontos + dinheiro e ainda ganhe R$ 100 em vale-combustível. 
🚗 E, para deixar a experiência ainda mais completa, faça uma Parada Completa no Posto Ipiranga: abasteça com Ipimax, passe na AmPm ou no Jet Oil antes de seguir para o festival.
#Ipiranga #KMV #RockinRio2026</x:v>
      </x:c>
      <x:c t="inlineStr" r="G124">
        <x:is>
          <x:t/>
        </x:is>
      </x:c>
      <x:c t="inlineStr" r="H124"/>
      <x:c t="inlineStr" r="I124">
        <x:is>
          <x:t>Repost</x:t>
        </x:is>
      </x:c>
      <x:c t="inlineStr" r="J124">
        <x:is>
          <x:t>Imagem,Texto</x:t>
        </x:is>
      </x:c>
      <x:c t="inlineStr" r="K124"/>
      <x:c r="L124">
        <x:f>HYPERLINK("https://x.com/meuminiverse/status/2090537852388147325")</x:f>
      </x:c>
      <x:c t="inlineStr" r="M124">
        <x:is>
          <x:t>Negativo</x:t>
        </x:is>
      </x:c>
      <x:c t="inlineStr" r="N124">
        <x:is>
          <x:t>veve • VAI VER O SKZ ᵈᵉ ⁿᵒᵛᵒ</x:t>
        </x:is>
      </x:c>
      <x:c t="inlineStr" r="O124">
        <x:is>
          <x:t>meuminiverse</x:t>
        </x:is>
      </x:c>
      <x:c r="P124">
        <x:f>HYPERLINK("http://x.com/meuminiverse")</x:f>
      </x:c>
      <x:c t="n" r="Q124">
        <x:v>960</x:v>
      </x:c>
      <x:c t="inlineStr" r="R124"/>
      <x:c t="inlineStr" r="S124"/>
      <x:c t="inlineStr" r="T124">
        <x:is>
          <x:t>x.com</x:t>
        </x:is>
      </x:c>
      <x:c t="inlineStr" r="U124"/>
      <x:c t="inlineStr" r="V124"/>
      <x:c t="inlineStr" r="W124"/>
      <x:c t="inlineStr" r="X124"/>
      <x:c t="inlineStr" r="Y124">
        <x:is>
          <x:t>Rede social</x:t>
        </x:is>
      </x:c>
      <x:c t="inlineStr" r="Z124">
        <x:is>
          <x:t>Português</x:t>
        </x:is>
      </x:c>
      <x:c t="inlineStr" r="AA124">
        <x:is>
          <x:t>Brasil</x:t>
        </x:is>
      </x:c>
      <x:c t="inlineStr" r="AB124"/>
      <x:c t="inlineStr" r="AC124"/>
      <x:c t="inlineStr" r="AD124"/>
      <x:c t="inlineStr" r="AE124"/>
      <x:c t="n" r="AF124">
        <x:v>0</x:v>
      </x:c>
      <x:c t="inlineStr" r="AG124"/>
      <x:c t="inlineStr" r="AH124"/>
      <x:c t="inlineStr" r="AI124"/>
      <x:c t="inlineStr" r="AJ124"/>
      <x:c t="inlineStr" r="AK124"/>
      <x:c t="inlineStr" r="AL124"/>
      <x:c t="inlineStr" r="AM124"/>
      <x:c t="inlineStr" r="AN124"/>
      <x:c t="inlineStr" r="AO124"/>
      <x:c t="inlineStr" r="AP124"/>
      <x:c t="inlineStr" r="AQ124"/>
      <x:c t="inlineStr" r="AR124"/>
      <x:c t="inlineStr" r="AS124"/>
      <x:c t="inlineStr" r="AT124"/>
      <x:c t="n" r="AU124">
        <x:v>960</x:v>
      </x:c>
      <x:c t="inlineStr" r="AV124"/>
      <x:c t="inlineStr" r="AW124">
        <x:is>
          <x:t/>
        </x:is>
      </x:c>
      <x:c t="inlineStr" r="AX124">
        <x:is>
          <x:t>text,poster</x:t>
        </x:is>
      </x:c>
      <x:c t="inlineStr" r="AY124">
        <x:is>
          <x:t/>
        </x:is>
      </x:c>
      <x:c t="inlineStr" r="AZ124">
        <x:is>
          <x:t/>
        </x:is>
      </x:c>
      <x:c t="inlineStr" r="BA124">
        <x:is>
          <x:t/>
        </x:is>
      </x:c>
      <x:c t="inlineStr" r="BB124">
        <x:is>
          <x:t>ILLUSTRATION</x:t>
        </x:is>
      </x:c>
      <x:c t="inlineStr" r="BC124">
        <x:is>
          <x:t>advertising</x:t>
        </x:is>
      </x:c>
      <x:c r="BD124">
        <x:f>HYPERLINK("https://pbs.twimg.com/media/HQB7GVVWMAEXXpH.jpg")</x:f>
      </x:c>
      <x:c t="inlineStr" r="BE124">
        <x:is>
          <x:t/>
        </x:is>
      </x:c>
      <x:c t="inlineStr" r="BF124">
        <x:is>
          <x:t>Não</x:t>
        </x:is>
      </x:c>
      <x:c t="inlineStr" r="BG124"/>
      <x:c t="inlineStr" r="BH124">
        <x:is>
          <x:t/>
        </x:is>
      </x:c>
      <x:c t="inlineStr" r="BI124">
        <x:is>
          <x:t>Promoção</x:t>
        </x:is>
      </x:c>
      <x:c t="inlineStr" r="BJ124"/>
      <x:c t="inlineStr" r="BK124">
        <x:is>
          <x:t>Franquia - Jet Oil,Franquia - AmPm,Ipimax,Campanha: Parada Completa,Ipiranga,App KMV,Rock In Rio</x:t>
        </x:is>
      </x:c>
      <x:c t="inlineStr" r="BL124"/>
      <x:c t="inlineStr" r="BM124"/>
      <x:c t="inlineStr" r="BN124"/>
      <x:c t="inlineStr" r="BO124"/>
      <x:c t="inlineStr" r="BP124"/>
      <x:c t="inlineStr" r="BQ124"/>
      <x:c t="inlineStr" r="BR124"/>
      <x:c t="inlineStr" r="BS124"/>
      <x:c t="inlineStr" r="BT124"/>
      <x:c t="inlineStr" r="BU124"/>
      <x:c t="inlineStr" r="BV124">
        <x:is>
          <x:t>Franquia - AmPm</x:t>
        </x:is>
      </x:c>
      <x:c t="inlineStr" r="BW124">
        <x:is>
          <x:t>Ipimax</x:t>
        </x:is>
      </x:c>
      <x:c t="inlineStr" r="BX124">
        <x:is>
          <x:t>Franquia - Jet Oil</x:t>
        </x:is>
      </x:c>
      <x:c t="inlineStr" r="BY124">
        <x:is>
          <x:t>Campanha: Parada Completa</x:t>
        </x:is>
      </x:c>
      <x:c t="inlineStr" r="BZ124">
        <x:is>
          <x:t>Ipiranga</x:t>
        </x:is>
      </x:c>
      <x:c t="inlineStr" r="CA124"/>
      <x:c t="inlineStr" r="CB124"/>
      <x:c t="inlineStr" r="CC124"/>
      <x:c t="inlineStr" r="CD124">
        <x:is>
          <x:t>App KMV</x:t>
        </x:is>
      </x:c>
      <x:c t="inlineStr" r="CE124">
        <x:is>
          <x:t>Rock In Rio</x:t>
        </x:is>
      </x:c>
      <x:c t="inlineStr" r="CF124"/>
    </x:row>
    <x:row r="125">
      <x:c t="n" r="A125">
        <x:v>2764275069</x:v>
      </x:c>
      <x:c t="inlineStr" r="B125">
        <x:is>
          <x:t>20.08.2026</x:t>
        </x:is>
      </x:c>
      <x:c t="inlineStr" r="C125">
        <x:is>
          <x:t>17:19</x:t>
        </x:is>
      </x:c>
      <x:c t="inlineStr" r="D125">
        <x:is>
          <x:t>20.08.2026 17:58</x:t>
        </x:is>
      </x:c>
      <x:c t="inlineStr" r="E125">
        <x:is>
          <x:t/>
        </x:is>
      </x:c>
      <x:c t="str" r="F125">
        <x:v>🎤 Sua emoção já tem data marcada. Seu ingresso já tem endereço: o app KMV.
🎟️ Resgate seu ingresso de gramado pelo app KMV usando seus pontos + dinheiro e ainda ganhe R$ 100 em vale-combustível.
E o esquenta pro festival já tem parada certa: passe no Posto Ipiranga, abasteça com Ipimax, aproveite a AmPm ou dê aquele cuidado no carro no Jet Oil. Depois, é só seguir pro show. 🚗⛽
#Ipiranga #KMV #RockinRio2026</x:v>
      </x:c>
      <x:c t="inlineStr" r="G125">
        <x:is>
          <x:t/>
        </x:is>
      </x:c>
      <x:c t="inlineStr" r="H125"/>
      <x:c t="inlineStr" r="I125">
        <x:is>
          <x:t>Postar</x:t>
        </x:is>
      </x:c>
      <x:c t="inlineStr" r="J125">
        <x:is>
          <x:t>Texto,Imagem</x:t>
        </x:is>
      </x:c>
      <x:c t="inlineStr" r="K125"/>
      <x:c r="L125">
        <x:f>HYPERLINK("https://www.threads.net/@cantorbelomilgrau/post/DcRms9MAbIi")</x:f>
      </x:c>
      <x:c t="inlineStr" r="M125">
        <x:is>
          <x:t>Negativo</x:t>
        </x:is>
      </x:c>
      <x:c t="inlineStr" r="N125">
        <x:is>
          <x:t>Central Cantor Belo</x:t>
        </x:is>
      </x:c>
      <x:c t="inlineStr" r="O125">
        <x:is>
          <x:t>cantorbelomilgrau</x:t>
        </x:is>
      </x:c>
      <x:c r="P125">
        <x:f>HYPERLINK("https://www.threads.net/@cantorbelomilgrau")</x:f>
      </x:c>
      <x:c t="n" r="Q125">
        <x:v>69142</x:v>
      </x:c>
      <x:c t="inlineStr" r="R125"/>
      <x:c t="inlineStr" r="S125"/>
      <x:c t="inlineStr" r="T125">
        <x:is>
          <x:t>threads.com</x:t>
        </x:is>
      </x:c>
      <x:c t="inlineStr" r="U125"/>
      <x:c t="inlineStr" r="V125"/>
      <x:c t="inlineStr" r="W125"/>
      <x:c t="inlineStr" r="X125"/>
      <x:c t="inlineStr" r="Y125">
        <x:is>
          <x:t>Rede social</x:t>
        </x:is>
      </x:c>
      <x:c t="inlineStr" r="Z125">
        <x:is>
          <x:t>Português</x:t>
        </x:is>
      </x:c>
      <x:c t="inlineStr" r="AA125"/>
      <x:c t="inlineStr" r="AB125"/>
      <x:c t="inlineStr" r="AC125"/>
      <x:c t="inlineStr" r="AD125"/>
      <x:c t="n" r="AE125">
        <x:v>0</x:v>
      </x:c>
      <x:c t="n" r="AF125">
        <x:v>0</x:v>
      </x:c>
      <x:c t="n" r="AG125">
        <x:v>0</x:v>
      </x:c>
      <x:c t="inlineStr" r="AH125"/>
      <x:c t="inlineStr" r="AI125"/>
      <x:c t="inlineStr" r="AJ125"/>
      <x:c t="inlineStr" r="AK125"/>
      <x:c t="inlineStr" r="AL125"/>
      <x:c t="inlineStr" r="AM125"/>
      <x:c t="inlineStr" r="AN125"/>
      <x:c t="n" r="AO125">
        <x:v>0</x:v>
      </x:c>
      <x:c t="inlineStr" r="AP125"/>
      <x:c t="inlineStr" r="AQ125"/>
      <x:c t="inlineStr" r="AR125"/>
      <x:c t="inlineStr" r="AS125"/>
      <x:c t="inlineStr" r="AT125"/>
      <x:c t="n" r="AU125">
        <x:v>69142</x:v>
      </x:c>
      <x:c t="inlineStr" r="AV125"/>
      <x:c t="inlineStr" r="AW125">
        <x:is>
          <x:t/>
        </x:is>
      </x:c>
      <x:c t="inlineStr" r="AX125">
        <x:is>
          <x:t>text,poster,emblem</x:t>
        </x:is>
      </x:c>
      <x:c t="inlineStr" r="AY125">
        <x:is>
          <x:t/>
        </x:is>
      </x:c>
      <x:c t="inlineStr" r="AZ125">
        <x:is>
          <x:t/>
        </x:is>
      </x:c>
      <x:c t="inlineStr" r="BA125">
        <x:is>
          <x:t/>
        </x:is>
      </x:c>
      <x:c t="inlineStr" r="BB125">
        <x:is>
          <x:t>ILLUSTRATION</x:t>
        </x:is>
      </x:c>
      <x:c t="inlineStr" r="BC125">
        <x:is>
          <x:t>advertising</x:t>
        </x:is>
      </x:c>
      <x:c t="inlineStr" r="BD125">
        <x:is>
          <x:t>https://instagram.fpso2-1.fna.fbcdn.net/v/t51.82787-15/779017824_18378099418231945_8151340846160709215_n.jpg?stp=dst-jpg_e35_tt6&amp;_nc_cat=109&amp;ig_cache_key=Mzk2ODEyMjk2MTgxNDIwNDk2Mg%3D%3D.3-ccb7-5&amp;ccb=7-5&amp;_nc_sid=58cdad&amp;efg=eyJ2ZW5jb2RlX3RhZyI6IkZFRUQueHBpZHMuMTM1MC5zZHIucmVndWxhcl9waG90by5DMyJ9&amp;_nc_ohc=jD1SNaGNSgIQ7kNvwFqSigc&amp;_nc_oc=AdrtGEhFloJ5k2YEyT0212AoVXjcbDhSG9zpLA7Q7pQdKrfW54ZhpxtZZ7onqnERruY&amp;_nc_ad=z-m&amp;_nc_cid=0&amp;_nc_zt=23&amp;_nc_ht=instagram.fpso2-1.fna&amp;_nc_gid=HxnITIYjsE7-hJk4KL8MhA&amp;_nc_ss=7a22e&amp;oh=00_AQF27L_uhFei58Q4TosEvqI-u6o6C9Fd-PfSiorHmgR5fg&amp;oe=6A8D56C3</x:t>
        </x:is>
      </x:c>
      <x:c t="inlineStr" r="BE125">
        <x:is>
          <x:t/>
        </x:is>
      </x:c>
      <x:c t="inlineStr" r="BF125">
        <x:is>
          <x:t>Não</x:t>
        </x:is>
      </x:c>
      <x:c t="inlineStr" r="BG125"/>
      <x:c t="inlineStr" r="BH125">
        <x:is>
          <x:t>Acontecimento</x:t>
        </x:is>
      </x:c>
      <x:c t="inlineStr" r="BI125">
        <x:is>
          <x:t>Promoção</x:t>
        </x:is>
      </x:c>
      <x:c t="inlineStr" r="BJ125"/>
      <x:c t="inlineStr" r="BK125">
        <x:is>
          <x:t>Franquia - Jet Oil,Franquia - AmPm,Ipimax,Ipiranga,App KMV,Rock In Rio</x:t>
        </x:is>
      </x:c>
      <x:c t="inlineStr" r="BL125"/>
      <x:c t="inlineStr" r="BM125"/>
      <x:c t="inlineStr" r="BN125"/>
      <x:c t="inlineStr" r="BO125"/>
      <x:c t="inlineStr" r="BP125"/>
      <x:c t="inlineStr" r="BQ125"/>
      <x:c t="inlineStr" r="BR125"/>
      <x:c t="inlineStr" r="BS125"/>
      <x:c t="inlineStr" r="BT125"/>
      <x:c t="inlineStr" r="BU125"/>
      <x:c t="inlineStr" r="BV125">
        <x:is>
          <x:t>Franquia - AmPm</x:t>
        </x:is>
      </x:c>
      <x:c t="inlineStr" r="BW125">
        <x:is>
          <x:t>Ipimax</x:t>
        </x:is>
      </x:c>
      <x:c t="inlineStr" r="BX125">
        <x:is>
          <x:t>Franquia - Jet Oil</x:t>
        </x:is>
      </x:c>
      <x:c t="inlineStr" r="BY125"/>
      <x:c t="inlineStr" r="BZ125">
        <x:is>
          <x:t>Ipiranga</x:t>
        </x:is>
      </x:c>
      <x:c t="inlineStr" r="CA125"/>
      <x:c t="inlineStr" r="CB125"/>
      <x:c t="inlineStr" r="CC125"/>
      <x:c t="inlineStr" r="CD125">
        <x:is>
          <x:t>App KMV</x:t>
        </x:is>
      </x:c>
      <x:c t="inlineStr" r="CE125">
        <x:is>
          <x:t>Rock In Rio</x:t>
        </x:is>
      </x:c>
      <x:c t="inlineStr" r="CF125"/>
    </x:row>
    <x:row r="126">
      <x:c t="n" r="A126">
        <x:v>4291964841</x:v>
      </x:c>
      <x:c t="inlineStr" r="B126">
        <x:is>
          <x:t>20.08.2026</x:t>
        </x:is>
      </x:c>
      <x:c t="inlineStr" r="C126">
        <x:is>
          <x:t>17:18</x:t>
        </x:is>
      </x:c>
      <x:c t="inlineStr" r="D126">
        <x:is>
          <x:t>20.08.2026 17:29</x:t>
        </x:is>
      </x:c>
      <x:c t="inlineStr" r="E126">
        <x:is>
          <x:t/>
        </x:is>
      </x:c>
      <x:c t="str" r="F126">
        <x:v>🎤 Sua emoção já tem data marcada. Seu ingresso já tem endereço: o app KMV.
🎟️ Resgate seu ingresso de gramado pelo app KMV usando seus pontos + dinheiro e ainda ganhe R$ 100 em vale-combustível.
E o esquenta pro festival já tem parada certa: passe no Posto Ipiranga, abasteça com Ipimax, aproveite a AmPm ou dê aquele cuidado no carro no Jet Oil. Depois, é só seguir pro show. 🚗⛽
#Ipiranga #KMV #RockinRio2026</x:v>
      </x:c>
      <x:c t="inlineStr" r="G126">
        <x:is>
          <x:t/>
        </x:is>
      </x:c>
      <x:c t="inlineStr" r="H126"/>
      <x:c t="inlineStr" r="I126">
        <x:is>
          <x:t>Postar</x:t>
        </x:is>
      </x:c>
      <x:c t="inlineStr" r="J126">
        <x:is>
          <x:t>Texto,Imagem</x:t>
        </x:is>
      </x:c>
      <x:c t="inlineStr" r="K126"/>
      <x:c r="L126">
        <x:f>HYPERLINK("https://www.instagram.com/p/DcRmpnnBOGv/")</x:f>
      </x:c>
      <x:c t="inlineStr" r="M126">
        <x:is>
          <x:t>Negativo</x:t>
        </x:is>
      </x:c>
      <x:c t="inlineStr" r="N126">
        <x:is>
          <x:t>Central Cantor Belo</x:t>
        </x:is>
      </x:c>
      <x:c t="inlineStr" r="O126">
        <x:is>
          <x:t>cantorbelomilgrau</x:t>
        </x:is>
      </x:c>
      <x:c r="P126">
        <x:f>HYPERLINK("http://instagram.com/cantorbelomilgrau")</x:f>
      </x:c>
      <x:c t="n" r="Q126">
        <x:v>420553</x:v>
      </x:c>
      <x:c t="inlineStr" r="R126"/>
      <x:c t="inlineStr" r="S126"/>
      <x:c t="inlineStr" r="T126">
        <x:is>
          <x:t>instagram.com</x:t>
        </x:is>
      </x:c>
      <x:c t="inlineStr" r="U126">
        <x:is>
          <x:t>Central Cantor Belo</x:t>
        </x:is>
      </x:c>
      <x:c r="V126">
        <x:f>HYPERLINK("http://instagram.com/cantorbelomilgrau")</x:f>
      </x:c>
      <x:c t="n" r="W126">
        <x:v>420553</x:v>
      </x:c>
      <x:c t="inlineStr" r="X126"/>
      <x:c t="inlineStr" r="Y126">
        <x:is>
          <x:t>Rede social</x:t>
        </x:is>
      </x:c>
      <x:c t="inlineStr" r="Z126">
        <x:is>
          <x:t>Português</x:t>
        </x:is>
      </x:c>
      <x:c t="inlineStr" r="AA126"/>
      <x:c t="inlineStr" r="AB126"/>
      <x:c t="inlineStr" r="AC126"/>
      <x:c t="inlineStr" r="AD126"/>
      <x:c t="n" r="AE126">
        <x:v>11</x:v>
      </x:c>
      <x:c t="n" r="AF126">
        <x:v>11</x:v>
      </x:c>
      <x:c t="n" r="AG126">
        <x:v>11</x:v>
      </x:c>
      <x:c t="inlineStr" r="AH126"/>
      <x:c t="inlineStr" r="AI126"/>
      <x:c t="inlineStr" r="AJ126"/>
      <x:c t="inlineStr" r="AK126"/>
      <x:c t="inlineStr" r="AL126"/>
      <x:c t="inlineStr" r="AM126"/>
      <x:c t="inlineStr" r="AN126"/>
      <x:c t="n" r="AO126">
        <x:v>0</x:v>
      </x:c>
      <x:c t="inlineStr" r="AP126"/>
      <x:c t="inlineStr" r="AQ126"/>
      <x:c t="inlineStr" r="AR126"/>
      <x:c t="inlineStr" r="AS126"/>
      <x:c t="inlineStr" r="AT126"/>
      <x:c t="n" r="AU126">
        <x:v>420553</x:v>
      </x:c>
      <x:c t="inlineStr" r="AV126"/>
      <x:c t="inlineStr" r="AW126">
        <x:is>
          <x:t/>
        </x:is>
      </x:c>
      <x:c t="inlineStr" r="AX126">
        <x:is>
          <x:t>text,poster,emblem</x:t>
        </x:is>
      </x:c>
      <x:c t="inlineStr" r="AY126">
        <x:is>
          <x:t/>
        </x:is>
      </x:c>
      <x:c t="inlineStr" r="AZ126">
        <x:is>
          <x:t/>
        </x:is>
      </x:c>
      <x:c t="inlineStr" r="BA126">
        <x:is>
          <x:t/>
        </x:is>
      </x:c>
      <x:c t="inlineStr" r="BB126">
        <x:is>
          <x:t>ILLUSTRATION</x:t>
        </x:is>
      </x:c>
      <x:c t="inlineStr" r="BC126">
        <x:is>
          <x:t>advertising</x:t>
        </x:is>
      </x:c>
      <x:c t="inlineStr" r="BD126">
        <x:is>
          <x:t>https://scontent-ams2-1.cdninstagram.com/v/t51.82787-15/779017824_18378099418231945_8151340846160709215_n.jpg?stp=dst-jpg_e35_p1080x1080_tt6&amp;_nc_cat=109&amp;ig_cache_key=Mzk2ODEyMjczMjQ4NjY0ODIzOQ%3D%3D.3-ccb7-5&amp;ccb=7-5&amp;_nc_sid=58cdad&amp;efg=eyJ2ZW5jb2RlX3RhZyI6IkZFRUQueHBpZHMuMTM1MC5zZHIucmVndWxhcl9waG90by5DMyJ9&amp;_nc_ohc=jD1SNaGNSgIQ7kNvwGbiD9T&amp;_nc_oc=Adrdc9plxiouqJyUaZxyh2KEzD0Kj2PoqAKuivZcgfoyEyx_q33_fkuwuHGB16i4cVY85r-unNtr5Ev5qSINbRQD&amp;_nc_zt=23&amp;_nc_ht=scontent-ams2-1.cdninstagram.com&amp;_nc_gid=883k2QlNnTMw2-YG50R9mw&amp;_nc_ss=70689&amp;oh=00_AQFBLnf3gCh5-P3qrZCvdFYmz1p8u1dGAM2fjsBkSWNbqw&amp;oe=6A8D1E83</x:t>
        </x:is>
      </x:c>
      <x:c t="inlineStr" r="BE126">
        <x:is>
          <x:t/>
        </x:is>
      </x:c>
      <x:c t="inlineStr" r="BF126">
        <x:is>
          <x:t>Não</x:t>
        </x:is>
      </x:c>
      <x:c t="inlineStr" r="BG126"/>
      <x:c t="inlineStr" r="BH126">
        <x:is>
          <x:t>Acontecimento</x:t>
        </x:is>
      </x:c>
      <x:c t="inlineStr" r="BI126">
        <x:is>
          <x:t>Promoção</x:t>
        </x:is>
      </x:c>
      <x:c t="inlineStr" r="BJ126"/>
      <x:c t="inlineStr" r="BK126">
        <x:is>
          <x:t>Franquia - Jet Oil,Franquia - AmPm,Ipimax,Ipiranga,App KMV,Rock In Rio</x:t>
        </x:is>
      </x:c>
      <x:c t="inlineStr" r="BL126"/>
      <x:c t="inlineStr" r="BM126"/>
      <x:c t="inlineStr" r="BN126"/>
      <x:c t="inlineStr" r="BO126"/>
      <x:c t="inlineStr" r="BP126"/>
      <x:c t="inlineStr" r="BQ126"/>
      <x:c t="inlineStr" r="BR126"/>
      <x:c t="inlineStr" r="BS126"/>
      <x:c t="inlineStr" r="BT126"/>
      <x:c t="inlineStr" r="BU126"/>
      <x:c t="inlineStr" r="BV126">
        <x:is>
          <x:t>Franquia - AmPm</x:t>
        </x:is>
      </x:c>
      <x:c t="inlineStr" r="BW126">
        <x:is>
          <x:t>Ipimax</x:t>
        </x:is>
      </x:c>
      <x:c t="inlineStr" r="BX126">
        <x:is>
          <x:t>Franquia - Jet Oil</x:t>
        </x:is>
      </x:c>
      <x:c t="inlineStr" r="BY126"/>
      <x:c t="inlineStr" r="BZ126">
        <x:is>
          <x:t>Ipiranga</x:t>
        </x:is>
      </x:c>
      <x:c t="inlineStr" r="CA126"/>
      <x:c t="inlineStr" r="CB126"/>
      <x:c t="inlineStr" r="CC126"/>
      <x:c t="inlineStr" r="CD126">
        <x:is>
          <x:t>App KMV</x:t>
        </x:is>
      </x:c>
      <x:c t="inlineStr" r="CE126">
        <x:is>
          <x:t>Rock In Rio</x:t>
        </x:is>
      </x:c>
      <x:c t="inlineStr" r="CF126"/>
    </x:row>
    <x:row r="127">
      <x:c t="n" r="A127">
        <x:v>4285352862</x:v>
      </x:c>
      <x:c t="inlineStr" r="B127">
        <x:is>
          <x:t>20.08.2026</x:t>
        </x:is>
      </x:c>
      <x:c t="inlineStr" r="C127">
        <x:is>
          <x:t>17:06</x:t>
        </x:is>
      </x:c>
      <x:c t="inlineStr" r="D127">
        <x:is>
          <x:t>22.08.2026 22:47</x:t>
        </x:is>
      </x:c>
      <x:c t="inlineStr" r="E127">
        <x:is>
          <x:t/>
        </x:is>
      </x:c>
      <x:c t="str" r="F127">
        <x:v>💜 Tem artista que faz parte da trilha sonora da nossa vida. Agora você pode viver esse momento ao vivo no Rock in Rio Brasil 2026. 
🎟️ Resgate seu ingresso de gramado pelo app KMV usando pontos + dinheiro e ainda ganhe R$ 100 em vale-combustível. 
Faça uma Parada Completa no Posto Ipiranga: abasteça com Ipimax, passe na AmPm ou no Jet Oil e fique preparado para curtir o melhor do festival.
#Ipiranga #KMV #RockinRio2026</x:v>
      </x:c>
      <x:c t="inlineStr" r="G127">
        <x:is>
          <x:t/>
        </x:is>
      </x:c>
      <x:c t="inlineStr" r="H127"/>
      <x:c t="inlineStr" r="I127">
        <x:is>
          <x:t>Repost</x:t>
        </x:is>
      </x:c>
      <x:c t="inlineStr" r="J127">
        <x:is>
          <x:t>Imagem,Texto</x:t>
        </x:is>
      </x:c>
      <x:c t="inlineStr" r="K127"/>
      <x:c r="L127">
        <x:f>HYPERLINK("https://x.com/worldsecco/status/2090530948383191265")</x:f>
      </x:c>
      <x:c t="inlineStr" r="M127">
        <x:is>
          <x:t>Negativo</x:t>
        </x:is>
      </x:c>
      <x:c t="inlineStr" r="N127">
        <x:is>
          <x:t>bru secco</x:t>
        </x:is>
      </x:c>
      <x:c t="inlineStr" r="O127">
        <x:is>
          <x:t>worldsecco</x:t>
        </x:is>
      </x:c>
      <x:c r="P127">
        <x:f>HYPERLINK("http://x.com/worldsecco")</x:f>
      </x:c>
      <x:c t="n" r="Q127">
        <x:v>37886</x:v>
      </x:c>
      <x:c t="inlineStr" r="R127"/>
      <x:c t="inlineStr" r="S127"/>
      <x:c t="inlineStr" r="T127">
        <x:is>
          <x:t>x.com</x:t>
        </x:is>
      </x:c>
      <x:c t="inlineStr" r="U127"/>
      <x:c t="inlineStr" r="V127"/>
      <x:c t="inlineStr" r="W127"/>
      <x:c t="inlineStr" r="X127"/>
      <x:c t="inlineStr" r="Y127">
        <x:is>
          <x:t>Rede social</x:t>
        </x:is>
      </x:c>
      <x:c t="inlineStr" r="Z127">
        <x:is>
          <x:t>Português</x:t>
        </x:is>
      </x:c>
      <x:c t="inlineStr" r="AA127">
        <x:is>
          <x:t>Brasil</x:t>
        </x:is>
      </x:c>
      <x:c t="inlineStr" r="AB127"/>
      <x:c t="inlineStr" r="AC127"/>
      <x:c t="inlineStr" r="AD127"/>
      <x:c t="inlineStr" r="AE127"/>
      <x:c t="n" r="AF127">
        <x:v>0</x:v>
      </x:c>
      <x:c t="inlineStr" r="AG127"/>
      <x:c t="inlineStr" r="AH127"/>
      <x:c t="inlineStr" r="AI127"/>
      <x:c t="inlineStr" r="AJ127"/>
      <x:c t="inlineStr" r="AK127"/>
      <x:c t="inlineStr" r="AL127"/>
      <x:c t="inlineStr" r="AM127"/>
      <x:c t="inlineStr" r="AN127"/>
      <x:c t="inlineStr" r="AO127"/>
      <x:c t="inlineStr" r="AP127"/>
      <x:c t="inlineStr" r="AQ127"/>
      <x:c t="inlineStr" r="AR127"/>
      <x:c t="inlineStr" r="AS127"/>
      <x:c t="inlineStr" r="AT127"/>
      <x:c t="n" r="AU127">
        <x:v>37886</x:v>
      </x:c>
      <x:c t="inlineStr" r="AV127"/>
      <x:c t="inlineStr" r="AW127">
        <x:is>
          <x:t/>
        </x:is>
      </x:c>
      <x:c t="inlineStr" r="AX127">
        <x:is>
          <x:t>text,poster</x:t>
        </x:is>
      </x:c>
      <x:c t="inlineStr" r="AY127">
        <x:is>
          <x:t/>
        </x:is>
      </x:c>
      <x:c t="inlineStr" r="AZ127">
        <x:is>
          <x:t/>
        </x:is>
      </x:c>
      <x:c t="inlineStr" r="BA127">
        <x:is>
          <x:t/>
        </x:is>
      </x:c>
      <x:c t="inlineStr" r="BB127">
        <x:is>
          <x:t>ILLUSTRATION</x:t>
        </x:is>
      </x:c>
      <x:c t="inlineStr" r="BC127">
        <x:is>
          <x:t>advertising</x:t>
        </x:is>
      </x:c>
      <x:c r="BD127">
        <x:f>HYPERLINK("https://pbs.twimg.com/media/HQHv5oiXQAA_0gh.jpg")</x:f>
      </x:c>
      <x:c t="inlineStr" r="BE127">
        <x:is>
          <x:t/>
        </x:is>
      </x:c>
      <x:c t="inlineStr" r="BF127">
        <x:is>
          <x:t>Não</x:t>
        </x:is>
      </x:c>
      <x:c t="inlineStr" r="BG127"/>
      <x:c t="inlineStr" r="BH127">
        <x:is>
          <x:t/>
        </x:is>
      </x:c>
      <x:c t="inlineStr" r="BI127">
        <x:is>
          <x:t>Promoção</x:t>
        </x:is>
      </x:c>
      <x:c t="inlineStr" r="BJ127"/>
      <x:c t="inlineStr" r="BK127">
        <x:is>
          <x:t>Franquia - Jet Oil,Franquia - AmPm,Ipimax,Campanha: Parada Completa,Ipiranga,App KMV,Rock In Rio</x:t>
        </x:is>
      </x:c>
      <x:c t="inlineStr" r="BL127"/>
      <x:c t="inlineStr" r="BM127"/>
      <x:c t="inlineStr" r="BN127"/>
      <x:c t="inlineStr" r="BO127"/>
      <x:c t="inlineStr" r="BP127"/>
      <x:c t="inlineStr" r="BQ127"/>
      <x:c t="inlineStr" r="BR127"/>
      <x:c t="inlineStr" r="BS127"/>
      <x:c t="inlineStr" r="BT127"/>
      <x:c t="inlineStr" r="BU127"/>
      <x:c t="inlineStr" r="BV127">
        <x:is>
          <x:t>Franquia - AmPm</x:t>
        </x:is>
      </x:c>
      <x:c t="inlineStr" r="BW127">
        <x:is>
          <x:t>Ipimax</x:t>
        </x:is>
      </x:c>
      <x:c t="inlineStr" r="BX127">
        <x:is>
          <x:t>Franquia - Jet Oil</x:t>
        </x:is>
      </x:c>
      <x:c t="inlineStr" r="BY127">
        <x:is>
          <x:t>Campanha: Parada Completa</x:t>
        </x:is>
      </x:c>
      <x:c t="inlineStr" r="BZ127">
        <x:is>
          <x:t>Ipiranga</x:t>
        </x:is>
      </x:c>
      <x:c t="inlineStr" r="CA127"/>
      <x:c t="inlineStr" r="CB127"/>
      <x:c t="inlineStr" r="CC127"/>
      <x:c t="inlineStr" r="CD127">
        <x:is>
          <x:t>App KMV</x:t>
        </x:is>
      </x:c>
      <x:c t="inlineStr" r="CE127">
        <x:is>
          <x:t>Rock In Rio</x:t>
        </x:is>
      </x:c>
      <x:c t="inlineStr" r="CF127"/>
    </x:row>
    <x:row r="128">
      <x:c t="n" r="A128">
        <x:v>4150764920</x:v>
      </x:c>
      <x:c t="inlineStr" r="B128">
        <x:is>
          <x:t>20.08.2026</x:t>
        </x:is>
      </x:c>
      <x:c t="inlineStr" r="C128">
        <x:is>
          <x:t>17:01</x:t>
        </x:is>
      </x:c>
      <x:c t="inlineStr" r="D128">
        <x:is>
          <x:t>23.08.2026 12:07</x:t>
        </x:is>
      </x:c>
      <x:c t="inlineStr" r="E128">
        <x:is>
          <x:t/>
        </x:is>
      </x:c>
      <x:c t="str" r="F128">
        <x:v>💜 Tem artista que faz parte da trilha sonora da nossa vida. Agora você pode viver esse momento ao vivo no Rock in Rio Brasil 2026. 
🎟️ Resgate seu ingresso de gramado pelo app KMV usando pontos + dinheiro e ainda ganhe R$ 100 em vale-combustível. 
Faça uma Parada Completa no Posto Ipiranga: abasteça com Ipimax, passe na AmPm ou no Jet Oil e fique preparado para curtir o melhor do festival.
#Ipiranga #KMV #RockinRio2026</x:v>
      </x:c>
      <x:c t="inlineStr" r="G128">
        <x:is>
          <x:t/>
        </x:is>
      </x:c>
      <x:c t="inlineStr" r="H128"/>
      <x:c t="inlineStr" r="I128">
        <x:is>
          <x:t>Repost</x:t>
        </x:is>
      </x:c>
      <x:c t="inlineStr" r="J128">
        <x:is>
          <x:t>Imagem,Texto</x:t>
        </x:is>
      </x:c>
      <x:c t="inlineStr" r="K128"/>
      <x:c r="L128">
        <x:f>HYPERLINK("https://x.com/mercuryactii/status/2090529754533220569")</x:f>
      </x:c>
      <x:c t="inlineStr" r="M128">
        <x:is>
          <x:t>Negativo</x:t>
        </x:is>
      </x:c>
      <x:c t="inlineStr" r="N128">
        <x:is>
          <x:t>h</x:t>
        </x:is>
      </x:c>
      <x:c t="inlineStr" r="O128">
        <x:is>
          <x:t>mercuryactii</x:t>
        </x:is>
      </x:c>
      <x:c r="P128">
        <x:f>HYPERLINK("http://x.com/mercuryactii")</x:f>
      </x:c>
      <x:c t="n" r="Q128">
        <x:v>706</x:v>
      </x:c>
      <x:c t="inlineStr" r="R128"/>
      <x:c t="inlineStr" r="S128"/>
      <x:c t="inlineStr" r="T128">
        <x:is>
          <x:t>x.com</x:t>
        </x:is>
      </x:c>
      <x:c t="inlineStr" r="U128"/>
      <x:c t="inlineStr" r="V128"/>
      <x:c t="inlineStr" r="W128"/>
      <x:c t="inlineStr" r="X128"/>
      <x:c t="inlineStr" r="Y128">
        <x:is>
          <x:t>Rede social</x:t>
        </x:is>
      </x:c>
      <x:c t="inlineStr" r="Z128">
        <x:is>
          <x:t>Português</x:t>
        </x:is>
      </x:c>
      <x:c t="inlineStr" r="AA128">
        <x:is>
          <x:t>Brasil</x:t>
        </x:is>
      </x:c>
      <x:c t="inlineStr" r="AB128"/>
      <x:c t="inlineStr" r="AC128"/>
      <x:c t="inlineStr" r="AD128"/>
      <x:c t="inlineStr" r="AE128"/>
      <x:c t="n" r="AF128">
        <x:v>0</x:v>
      </x:c>
      <x:c t="inlineStr" r="AG128"/>
      <x:c t="inlineStr" r="AH128"/>
      <x:c t="inlineStr" r="AI128"/>
      <x:c t="inlineStr" r="AJ128"/>
      <x:c t="inlineStr" r="AK128"/>
      <x:c t="inlineStr" r="AL128"/>
      <x:c t="inlineStr" r="AM128"/>
      <x:c t="inlineStr" r="AN128"/>
      <x:c t="inlineStr" r="AO128"/>
      <x:c t="inlineStr" r="AP128"/>
      <x:c t="inlineStr" r="AQ128"/>
      <x:c t="inlineStr" r="AR128"/>
      <x:c t="inlineStr" r="AS128"/>
      <x:c t="inlineStr" r="AT128"/>
      <x:c t="n" r="AU128">
        <x:v>706</x:v>
      </x:c>
      <x:c t="inlineStr" r="AV128"/>
      <x:c t="inlineStr" r="AW128">
        <x:is>
          <x:t/>
        </x:is>
      </x:c>
      <x:c t="inlineStr" r="AX128">
        <x:is>
          <x:t>text,poster</x:t>
        </x:is>
      </x:c>
      <x:c t="inlineStr" r="AY128">
        <x:is>
          <x:t/>
        </x:is>
      </x:c>
      <x:c t="inlineStr" r="AZ128">
        <x:is>
          <x:t/>
        </x:is>
      </x:c>
      <x:c t="inlineStr" r="BA128">
        <x:is>
          <x:t/>
        </x:is>
      </x:c>
      <x:c t="inlineStr" r="BB128">
        <x:is>
          <x:t>ILLUSTRATION</x:t>
        </x:is>
      </x:c>
      <x:c t="inlineStr" r="BC128">
        <x:is>
          <x:t>advertising</x:t>
        </x:is>
      </x:c>
      <x:c r="BD128">
        <x:f>HYPERLINK("https://pbs.twimg.com/media/HQHv5oiXQAA_0gh.jpg")</x:f>
      </x:c>
      <x:c t="inlineStr" r="BE128">
        <x:is>
          <x:t/>
        </x:is>
      </x:c>
      <x:c t="inlineStr" r="BF128">
        <x:is>
          <x:t>Não</x:t>
        </x:is>
      </x:c>
      <x:c t="inlineStr" r="BG128"/>
      <x:c t="inlineStr" r="BH128">
        <x:is>
          <x:t/>
        </x:is>
      </x:c>
      <x:c t="inlineStr" r="BI128">
        <x:is>
          <x:t>Promoção</x:t>
        </x:is>
      </x:c>
      <x:c t="inlineStr" r="BJ128"/>
      <x:c t="inlineStr" r="BK128">
        <x:is>
          <x:t>Franquia - Jet Oil,Franquia - AmPm,Ipimax,Campanha: Parada Completa,Ipiranga,App KMV,Rock In Rio</x:t>
        </x:is>
      </x:c>
      <x:c t="inlineStr" r="BL128"/>
      <x:c t="inlineStr" r="BM128"/>
      <x:c t="inlineStr" r="BN128"/>
      <x:c t="inlineStr" r="BO128"/>
      <x:c t="inlineStr" r="BP128"/>
      <x:c t="inlineStr" r="BQ128"/>
      <x:c t="inlineStr" r="BR128"/>
      <x:c t="inlineStr" r="BS128"/>
      <x:c t="inlineStr" r="BT128"/>
      <x:c t="inlineStr" r="BU128"/>
      <x:c t="inlineStr" r="BV128">
        <x:is>
          <x:t>Franquia - AmPm</x:t>
        </x:is>
      </x:c>
      <x:c t="inlineStr" r="BW128">
        <x:is>
          <x:t>Ipimax</x:t>
        </x:is>
      </x:c>
      <x:c t="inlineStr" r="BX128">
        <x:is>
          <x:t>Franquia - Jet Oil</x:t>
        </x:is>
      </x:c>
      <x:c t="inlineStr" r="BY128">
        <x:is>
          <x:t>Campanha: Parada Completa</x:t>
        </x:is>
      </x:c>
      <x:c t="inlineStr" r="BZ128">
        <x:is>
          <x:t>Ipiranga</x:t>
        </x:is>
      </x:c>
      <x:c t="inlineStr" r="CA128"/>
      <x:c t="inlineStr" r="CB128"/>
      <x:c t="inlineStr" r="CC128"/>
      <x:c t="inlineStr" r="CD128">
        <x:is>
          <x:t>App KMV</x:t>
        </x:is>
      </x:c>
      <x:c t="inlineStr" r="CE128">
        <x:is>
          <x:t>Rock In Rio</x:t>
        </x:is>
      </x:c>
      <x:c t="inlineStr" r="CF128"/>
    </x:row>
    <x:row r="129">
      <x:c t="n" r="A129">
        <x:v>106121274</x:v>
      </x:c>
      <x:c t="inlineStr" r="B129">
        <x:is>
          <x:t>20.08.2026</x:t>
        </x:is>
      </x:c>
      <x:c t="inlineStr" r="C129">
        <x:is>
          <x:t>17:01</x:t>
        </x:is>
      </x:c>
      <x:c t="inlineStr" r="D129">
        <x:is>
          <x:t>21.08.2026 23:19</x:t>
        </x:is>
      </x:c>
      <x:c t="inlineStr" r="E129">
        <x:is>
          <x:t/>
        </x:is>
      </x:c>
      <x:c t="str" r="F129">
        <x:v>💜 Tem artista que faz parte da trilha sonora da nossa vida. Agora você pode viver esse momento ao vivo no Rock in Rio Brasil 2026. 
🎟️ Resgate seu ingresso de gramado pelo app KMV usando pontos + dinheiro e ainda ganhe R$ 100 em vale-combustível. 
Faça uma Parada Completa no Posto Ipiranga: abasteça com Ipimax, passe na AmPm ou no Jet Oil e fique preparado para curtir o melhor do festival.
#Ipiranga #KMV #RockinRio2026</x:v>
      </x:c>
      <x:c t="inlineStr" r="G129">
        <x:is>
          <x:t/>
        </x:is>
      </x:c>
      <x:c t="inlineStr" r="H129"/>
      <x:c t="inlineStr" r="I129">
        <x:is>
          <x:t>Repost</x:t>
        </x:is>
      </x:c>
      <x:c t="inlineStr" r="J129">
        <x:is>
          <x:t>Imagem,Texto</x:t>
        </x:is>
      </x:c>
      <x:c t="inlineStr" r="K129"/>
      <x:c r="L129">
        <x:f>HYPERLINK("https://x.com/itsnothatddl/status/2090529664192200897")</x:f>
      </x:c>
      <x:c t="inlineStr" r="M129">
        <x:is>
          <x:t>Negativo</x:t>
        </x:is>
      </x:c>
      <x:c t="inlineStr" r="N129">
        <x:is>
          <x:t>beto 🏹</x:t>
        </x:is>
      </x:c>
      <x:c t="inlineStr" r="O129">
        <x:is>
          <x:t>itsnothatddl</x:t>
        </x:is>
      </x:c>
      <x:c r="P129">
        <x:f>HYPERLINK("http://x.com/itsnothatddl")</x:f>
      </x:c>
      <x:c t="n" r="Q129">
        <x:v>2716</x:v>
      </x:c>
      <x:c t="inlineStr" r="R129">
        <x:is>
          <x:t>Homem</x:t>
        </x:is>
      </x:c>
      <x:c t="inlineStr" r="S129"/>
      <x:c t="inlineStr" r="T129">
        <x:is>
          <x:t>x.com</x:t>
        </x:is>
      </x:c>
      <x:c t="inlineStr" r="U129"/>
      <x:c t="inlineStr" r="V129"/>
      <x:c t="inlineStr" r="W129"/>
      <x:c t="inlineStr" r="X129"/>
      <x:c t="inlineStr" r="Y129">
        <x:is>
          <x:t>Rede social</x:t>
        </x:is>
      </x:c>
      <x:c t="inlineStr" r="Z129">
        <x:is>
          <x:t>Português</x:t>
        </x:is>
      </x:c>
      <x:c t="inlineStr" r="AA129">
        <x:is>
          <x:t>Portugal</x:t>
        </x:is>
      </x:c>
      <x:c t="inlineStr" r="AB129">
        <x:is>
          <x:t>Centro</x:t>
        </x:is>
      </x:c>
      <x:c t="inlineStr" r="AC129">
        <x:is>
          <x:t>Coimbra</x:t>
        </x:is>
      </x:c>
      <x:c t="inlineStr" r="AD129"/>
      <x:c t="inlineStr" r="AE129"/>
      <x:c t="n" r="AF129">
        <x:v>0</x:v>
      </x:c>
      <x:c t="inlineStr" r="AG129"/>
      <x:c t="inlineStr" r="AH129"/>
      <x:c t="inlineStr" r="AI129"/>
      <x:c t="inlineStr" r="AJ129"/>
      <x:c t="inlineStr" r="AK129"/>
      <x:c t="inlineStr" r="AL129"/>
      <x:c t="inlineStr" r="AM129"/>
      <x:c t="inlineStr" r="AN129"/>
      <x:c t="inlineStr" r="AO129"/>
      <x:c t="inlineStr" r="AP129"/>
      <x:c t="inlineStr" r="AQ129"/>
      <x:c t="inlineStr" r="AR129"/>
      <x:c t="inlineStr" r="AS129"/>
      <x:c t="inlineStr" r="AT129"/>
      <x:c t="n" r="AU129">
        <x:v>2716</x:v>
      </x:c>
      <x:c t="inlineStr" r="AV129"/>
      <x:c t="inlineStr" r="AW129">
        <x:is>
          <x:t/>
        </x:is>
      </x:c>
      <x:c t="inlineStr" r="AX129">
        <x:is>
          <x:t>text,poster</x:t>
        </x:is>
      </x:c>
      <x:c t="inlineStr" r="AY129">
        <x:is>
          <x:t/>
        </x:is>
      </x:c>
      <x:c t="inlineStr" r="AZ129">
        <x:is>
          <x:t/>
        </x:is>
      </x:c>
      <x:c t="inlineStr" r="BA129">
        <x:is>
          <x:t/>
        </x:is>
      </x:c>
      <x:c t="inlineStr" r="BB129">
        <x:is>
          <x:t>ILLUSTRATION</x:t>
        </x:is>
      </x:c>
      <x:c t="inlineStr" r="BC129">
        <x:is>
          <x:t>advertising</x:t>
        </x:is>
      </x:c>
      <x:c r="BD129">
        <x:f>HYPERLINK("https://pbs.twimg.com/media/HQHv5oiXQAA_0gh.jpg")</x:f>
      </x:c>
      <x:c t="inlineStr" r="BE129">
        <x:is>
          <x:t/>
        </x:is>
      </x:c>
      <x:c t="inlineStr" r="BF129">
        <x:is>
          <x:t>Não</x:t>
        </x:is>
      </x:c>
      <x:c t="inlineStr" r="BG129"/>
      <x:c t="inlineStr" r="BH129">
        <x:is>
          <x:t/>
        </x:is>
      </x:c>
      <x:c t="inlineStr" r="BI129">
        <x:is>
          <x:t>Promoção</x:t>
        </x:is>
      </x:c>
      <x:c t="inlineStr" r="BJ129"/>
      <x:c t="inlineStr" r="BK129">
        <x:is>
          <x:t>Franquia - Jet Oil,Franquia - AmPm,Ipimax,Campanha: Parada Completa,Ipiranga,App KMV,Rock In Rio</x:t>
        </x:is>
      </x:c>
      <x:c t="inlineStr" r="BL129"/>
      <x:c t="inlineStr" r="BM129"/>
      <x:c t="inlineStr" r="BN129"/>
      <x:c t="inlineStr" r="BO129"/>
      <x:c t="inlineStr" r="BP129"/>
      <x:c t="inlineStr" r="BQ129"/>
      <x:c t="inlineStr" r="BR129"/>
      <x:c t="inlineStr" r="BS129"/>
      <x:c t="inlineStr" r="BT129"/>
      <x:c t="inlineStr" r="BU129"/>
      <x:c t="inlineStr" r="BV129">
        <x:is>
          <x:t>Franquia - AmPm</x:t>
        </x:is>
      </x:c>
      <x:c t="inlineStr" r="BW129">
        <x:is>
          <x:t>Ipimax</x:t>
        </x:is>
      </x:c>
      <x:c t="inlineStr" r="BX129">
        <x:is>
          <x:t>Franquia - Jet Oil</x:t>
        </x:is>
      </x:c>
      <x:c t="inlineStr" r="BY129">
        <x:is>
          <x:t>Campanha: Parada Completa</x:t>
        </x:is>
      </x:c>
      <x:c t="inlineStr" r="BZ129">
        <x:is>
          <x:t>Ipiranga</x:t>
        </x:is>
      </x:c>
      <x:c t="inlineStr" r="CA129"/>
      <x:c t="inlineStr" r="CB129"/>
      <x:c t="inlineStr" r="CC129"/>
      <x:c t="inlineStr" r="CD129">
        <x:is>
          <x:t>App KMV</x:t>
        </x:is>
      </x:c>
      <x:c t="inlineStr" r="CE129">
        <x:is>
          <x:t>Rock In Rio</x:t>
        </x:is>
      </x:c>
      <x:c t="inlineStr" r="CF129"/>
    </x:row>
    <x:row r="130">
      <x:c t="n" r="A130">
        <x:v>1750224308</x:v>
      </x:c>
      <x:c t="inlineStr" r="B130">
        <x:is>
          <x:t>20.08.2026</x:t>
        </x:is>
      </x:c>
      <x:c t="inlineStr" r="C130">
        <x:is>
          <x:t>17:00</x:t>
        </x:is>
      </x:c>
      <x:c t="inlineStr" r="D130">
        <x:is>
          <x:t>20.08.2026 17:12</x:t>
        </x:is>
      </x:c>
      <x:c t="inlineStr" r="E130">
        <x:is>
          <x:t/>
        </x:is>
      </x:c>
      <x:c t="str" r="F130">
        <x:v>💜 Tem artista que faz parte da trilha sonora da nossa vida. Agora você pode viver esse momento ao vivo no Rock in Rio Brasil 2026. 
🎟️ Resgate seu ingresso de gramado pelo app KMV usando pontos + dinheiro e ainda ganhe R$ 100 em vale-combustível. 
Faça uma Parada Completa no Posto Ipiranga: abasteça com Ipimax, passe na AmPm ou no Jet Oil e fique preparado para curtir o melhor do festival.
#Ipiranga #KMV #RockinRio2026</x:v>
      </x:c>
      <x:c t="inlineStr" r="G130">
        <x:is>
          <x:t/>
        </x:is>
      </x:c>
      <x:c t="inlineStr" r="H130"/>
      <x:c t="inlineStr" r="I130">
        <x:is>
          <x:t>Postar</x:t>
        </x:is>
      </x:c>
      <x:c t="inlineStr" r="J130">
        <x:is>
          <x:t>Texto,Imagem</x:t>
        </x:is>
      </x:c>
      <x:c t="inlineStr" r="K130"/>
      <x:c r="L130">
        <x:f>HYPERLINK("https://www.instagram.com/p/DcPWUp4p9mF/")</x:f>
      </x:c>
      <x:c t="inlineStr" r="M130">
        <x:is>
          <x:t>Negativo</x:t>
        </x:is>
      </x:c>
      <x:c t="inlineStr" r="N130">
        <x:is>
          <x:t>Portal Lovato</x:t>
        </x:is>
      </x:c>
      <x:c t="inlineStr" r="O130">
        <x:is>
          <x:t>portallovato</x:t>
        </x:is>
      </x:c>
      <x:c r="P130">
        <x:f>HYPERLINK("https://www.instagram.com/portallovato/")</x:f>
      </x:c>
      <x:c t="n" r="Q130">
        <x:v>20933</x:v>
      </x:c>
      <x:c t="inlineStr" r="R130"/>
      <x:c t="inlineStr" r="S130"/>
      <x:c t="inlineStr" r="T130">
        <x:is>
          <x:t>instagram.com</x:t>
        </x:is>
      </x:c>
      <x:c t="inlineStr" r="U130">
        <x:is>
          <x:t>Portal Lovato</x:t>
        </x:is>
      </x:c>
      <x:c r="V130">
        <x:f>HYPERLINK("https://www.instagram.com/portallovato/")</x:f>
      </x:c>
      <x:c t="n" r="W130">
        <x:v>20933</x:v>
      </x:c>
      <x:c t="inlineStr" r="X130"/>
      <x:c t="inlineStr" r="Y130">
        <x:is>
          <x:t>Rede social</x:t>
        </x:is>
      </x:c>
      <x:c t="inlineStr" r="Z130">
        <x:is>
          <x:t>Português</x:t>
        </x:is>
      </x:c>
      <x:c t="inlineStr" r="AA130"/>
      <x:c t="inlineStr" r="AB130"/>
      <x:c t="inlineStr" r="AC130"/>
      <x:c t="inlineStr" r="AD130"/>
      <x:c t="n" r="AE130">
        <x:v>10</x:v>
      </x:c>
      <x:c t="n" r="AF130">
        <x:v>10</x:v>
      </x:c>
      <x:c t="n" r="AG130">
        <x:v>10</x:v>
      </x:c>
      <x:c t="inlineStr" r="AH130"/>
      <x:c t="inlineStr" r="AI130"/>
      <x:c t="inlineStr" r="AJ130"/>
      <x:c t="inlineStr" r="AK130"/>
      <x:c t="inlineStr" r="AL130"/>
      <x:c t="inlineStr" r="AM130"/>
      <x:c t="inlineStr" r="AN130"/>
      <x:c t="n" r="AO130">
        <x:v>0</x:v>
      </x:c>
      <x:c t="inlineStr" r="AP130"/>
      <x:c t="inlineStr" r="AQ130"/>
      <x:c t="inlineStr" r="AR130"/>
      <x:c t="inlineStr" r="AS130"/>
      <x:c t="inlineStr" r="AT130"/>
      <x:c t="n" r="AU130">
        <x:v>20933</x:v>
      </x:c>
      <x:c t="inlineStr" r="AV130"/>
      <x:c t="inlineStr" r="AW130">
        <x:is>
          <x:t/>
        </x:is>
      </x:c>
      <x:c t="inlineStr" r="AX130">
        <x:is>
          <x:t>text,poster</x:t>
        </x:is>
      </x:c>
      <x:c t="inlineStr" r="AY130">
        <x:is>
          <x:t/>
        </x:is>
      </x:c>
      <x:c t="inlineStr" r="AZ130">
        <x:is>
          <x:t/>
        </x:is>
      </x:c>
      <x:c t="inlineStr" r="BA130">
        <x:is>
          <x:t/>
        </x:is>
      </x:c>
      <x:c t="inlineStr" r="BB130">
        <x:is>
          <x:t>ILLUSTRATION</x:t>
        </x:is>
      </x:c>
      <x:c t="inlineStr" r="BC130">
        <x:is>
          <x:t>advertising</x:t>
        </x:is>
      </x:c>
      <x:c t="inlineStr" r="BD130">
        <x:is>
          <x:t>https://scontent-ams2-1.cdninstagram.com/v/t51.82787-15/776658746_18619346494048852_3329585851791561945_n.webp?stp=dst-jpg_e35_tt6&amp;_nc_cat=101&amp;ccb=7-5&amp;_nc_sid=18de74&amp;efg=eyJlZmdfdGFnIjoiRkVFRC5iZXN0X2ltYWdlX3VybGdlbi5DMyJ9&amp;_nc_ohc=g2W1KXNfKwAQ7kNvwEFibvm&amp;_nc_oc=AdrwhK57t57A-RYey5XouNiElxQXG5dcK8VtfrkHlokk8zOq0NGw1DNRzW_yfciw8Ho&amp;_nc_zt=23&amp;_nc_ht=scontent-ams2-1.cdninstagram.com&amp;edm=AJ7ooaQEAAAA&amp;_nc_gid=Tt-o7h-p0lBESL0jCvumoQ&amp;oh=00_AQH536U7xwL6_3FTxKWWhFA5Rpc7czsZIaNCWzQwo-0MJg&amp;oe=6A8D441B</x:t>
        </x:is>
      </x:c>
      <x:c t="inlineStr" r="BE130">
        <x:is>
          <x:t/>
        </x:is>
      </x:c>
      <x:c t="inlineStr" r="BF130">
        <x:is>
          <x:t>Não</x:t>
        </x:is>
      </x:c>
      <x:c t="inlineStr" r="BG130"/>
      <x:c t="inlineStr" r="BH130">
        <x:is>
          <x:t/>
        </x:is>
      </x:c>
      <x:c t="inlineStr" r="BI130">
        <x:is>
          <x:t>Promoção</x:t>
        </x:is>
      </x:c>
      <x:c t="inlineStr" r="BJ130"/>
      <x:c t="inlineStr" r="BK130">
        <x:is>
          <x:t>Franquia - Jet Oil,Franquia - AmPm,Ipimax,Campanha: Parada Completa,Ipiranga,App KMV,Rock In Rio</x:t>
        </x:is>
      </x:c>
      <x:c t="inlineStr" r="BL130"/>
      <x:c t="inlineStr" r="BM130"/>
      <x:c t="inlineStr" r="BN130"/>
      <x:c t="inlineStr" r="BO130"/>
      <x:c t="inlineStr" r="BP130"/>
      <x:c t="inlineStr" r="BQ130"/>
      <x:c t="inlineStr" r="BR130"/>
      <x:c t="inlineStr" r="BS130"/>
      <x:c t="inlineStr" r="BT130"/>
      <x:c t="inlineStr" r="BU130"/>
      <x:c t="inlineStr" r="BV130">
        <x:is>
          <x:t>Franquia - AmPm</x:t>
        </x:is>
      </x:c>
      <x:c t="inlineStr" r="BW130">
        <x:is>
          <x:t>Ipimax</x:t>
        </x:is>
      </x:c>
      <x:c t="inlineStr" r="BX130">
        <x:is>
          <x:t>Franquia - Jet Oil</x:t>
        </x:is>
      </x:c>
      <x:c t="inlineStr" r="BY130">
        <x:is>
          <x:t>Campanha: Parada Completa</x:t>
        </x:is>
      </x:c>
      <x:c t="inlineStr" r="BZ130">
        <x:is>
          <x:t>Ipiranga</x:t>
        </x:is>
      </x:c>
      <x:c t="inlineStr" r="CA130"/>
      <x:c t="inlineStr" r="CB130"/>
      <x:c t="inlineStr" r="CC130"/>
      <x:c t="inlineStr" r="CD130">
        <x:is>
          <x:t>App KMV</x:t>
        </x:is>
      </x:c>
      <x:c t="inlineStr" r="CE130">
        <x:is>
          <x:t>Rock In Rio</x:t>
        </x:is>
      </x:c>
      <x:c t="inlineStr" r="CF130"/>
    </x:row>
    <x:row r="131">
      <x:c t="n" r="A131">
        <x:v>2733650150</x:v>
      </x:c>
      <x:c t="inlineStr" r="B131">
        <x:is>
          <x:t>20.08.2026</x:t>
        </x:is>
      </x:c>
      <x:c t="inlineStr" r="C131">
        <x:is>
          <x:t>17:00</x:t>
        </x:is>
      </x:c>
      <x:c t="inlineStr" r="D131">
        <x:is>
          <x:t>23.08.2026 05:53</x:t>
        </x:is>
      </x:c>
      <x:c t="inlineStr" r="E131">
        <x:is>
          <x:t/>
        </x:is>
      </x:c>
      <x:c t="str" r="F131">
        <x:v>O Rock in Rio Brasil 2026 tem axé. Seu ingresso tem app KMV.
🎟️ Os ingressos já estão disponíveis no app KMV. Resgate usando pontos + dinheiro e ainda ganhe R$ 100 em vale-combustível. 
Complete o caminho com uma Parada Completa no Posto Ipiranga e prepare-se para o Rock in Rio Brasil 2026. 
#Ipiranga #KMV #RockinRio2026</x:v>
      </x:c>
      <x:c t="inlineStr" r="G131">
        <x:is>
          <x:t/>
        </x:is>
      </x:c>
      <x:c t="inlineStr" r="H131"/>
      <x:c t="inlineStr" r="I131">
        <x:is>
          <x:t>Postar</x:t>
        </x:is>
      </x:c>
      <x:c t="inlineStr" r="J131">
        <x:is>
          <x:t>Texto,Álbum,Imagem</x:t>
        </x:is>
      </x:c>
      <x:c t="inlineStr" r="K131"/>
      <x:c r="L131">
        <x:f>HYPERLINK("https://www.instagram.com/p/DcRkoODHGMx/")</x:f>
      </x:c>
      <x:c t="inlineStr" r="M131">
        <x:is>
          <x:t>Negativo</x:t>
        </x:is>
      </x:c>
      <x:c t="inlineStr" r="N131">
        <x:is>
          <x:t>Mundo Veveta</x:t>
        </x:is>
      </x:c>
      <x:c t="inlineStr" r="O131">
        <x:is>
          <x:t>mundoveveta</x:t>
        </x:is>
      </x:c>
      <x:c r="P131">
        <x:f>HYPERLINK("http://instagram.com/mundoveveta")</x:f>
      </x:c>
      <x:c t="n" r="Q131">
        <x:v>59410</x:v>
      </x:c>
      <x:c t="inlineStr" r="R131"/>
      <x:c t="inlineStr" r="S131"/>
      <x:c t="inlineStr" r="T131">
        <x:is>
          <x:t>instagram.com</x:t>
        </x:is>
      </x:c>
      <x:c t="inlineStr" r="U131">
        <x:is>
          <x:t>Mundo Veveta</x:t>
        </x:is>
      </x:c>
      <x:c r="V131">
        <x:f>HYPERLINK("http://instagram.com/mundoveveta")</x:f>
      </x:c>
      <x:c t="n" r="W131">
        <x:v>59410</x:v>
      </x:c>
      <x:c t="inlineStr" r="X131"/>
      <x:c t="inlineStr" r="Y131">
        <x:is>
          <x:t>Rede social</x:t>
        </x:is>
      </x:c>
      <x:c t="inlineStr" r="Z131">
        <x:is>
          <x:t>Português</x:t>
        </x:is>
      </x:c>
      <x:c t="inlineStr" r="AA131"/>
      <x:c t="inlineStr" r="AB131"/>
      <x:c t="inlineStr" r="AC131"/>
      <x:c t="inlineStr" r="AD131"/>
      <x:c t="n" r="AE131">
        <x:v>3</x:v>
      </x:c>
      <x:c t="n" r="AF131">
        <x:v>5</x:v>
      </x:c>
      <x:c t="n" r="AG131">
        <x:v>3</x:v>
      </x:c>
      <x:c t="inlineStr" r="AH131"/>
      <x:c t="inlineStr" r="AI131"/>
      <x:c t="inlineStr" r="AJ131"/>
      <x:c t="inlineStr" r="AK131"/>
      <x:c t="inlineStr" r="AL131"/>
      <x:c t="inlineStr" r="AM131"/>
      <x:c t="inlineStr" r="AN131"/>
      <x:c t="n" r="AO131">
        <x:v>2</x:v>
      </x:c>
      <x:c t="inlineStr" r="AP131"/>
      <x:c t="inlineStr" r="AQ131"/>
      <x:c t="inlineStr" r="AR131"/>
      <x:c t="inlineStr" r="AS131"/>
      <x:c t="inlineStr" r="AT131"/>
      <x:c t="n" r="AU131">
        <x:v>59410</x:v>
      </x:c>
      <x:c t="inlineStr" r="AV131"/>
      <x:c t="inlineStr" r="AW131">
        <x:is>
          <x:t/>
        </x:is>
      </x:c>
      <x:c t="inlineStr" r="AX131">
        <x:is>
          <x:t>tree,text,palm tree,poster,plant,emblem</x:t>
        </x:is>
      </x:c>
      <x:c t="inlineStr" r="AY131">
        <x:is>
          <x:t/>
        </x:is>
      </x:c>
      <x:c t="inlineStr" r="AZ131">
        <x:is>
          <x:t/>
        </x:is>
      </x:c>
      <x:c t="inlineStr" r="BA131">
        <x:is>
          <x:t/>
        </x:is>
      </x:c>
      <x:c t="inlineStr" r="BB131">
        <x:is>
          <x:t>ILLUSTRATION</x:t>
        </x:is>
      </x:c>
      <x:c t="inlineStr" r="BC131">
        <x:is>
          <x:t>advertising</x:t>
        </x:is>
      </x:c>
      <x:c t="inlineStr" r="BD131">
        <x:is>
          <x:t>https://scontent-ams2-1.cdninstagram.com/v/t51.82787-15/779957100_18617691466035899_7324785290218546054_n.jpg?stp=dst-jpg_e35_tt6&amp;_nc_cat=110&amp;ig_cache_key=Mzk2ODA4NzA4NTI4MzAzODM0NA%3D%3D.3-ccb7-5&amp;ccb=7-5&amp;_nc_sid=58cdad&amp;efg=eyJ2ZW5jb2RlX3RhZyI6IkNBUk9VU0VMX0lURU0ueHBpZHMuODE0LnNkci5yZWd1bGFyX3Bob3RvLkMzIn0%3D&amp;_nc_ohc=_FIE04pQLnMQ7kNvwH5qCb-&amp;_nc_oc=Ado7rg2_ehzNmwvVC0tcoaq4zpgY1e_RQQbD11waj2mAb5smvfZbK90RP9nE_zKvT1fnhkubDyCWjNx8j6PH39YT&amp;_nc_zt=23&amp;_nc_ht=scontent-ams2-1.cdninstagram.com&amp;_nc_gid=1TitYZB1-1FgrzQGxlla8Q&amp;_nc_ss=70689&amp;oh=00_AQEI7OHVHjaSYi4Rkl7NRiv1Wp4cVVzeL8WmAm6nloJLWQ&amp;oe=6A909826</x:t>
        </x:is>
      </x:c>
      <x:c t="inlineStr" r="BE131">
        <x:is>
          <x:t/>
        </x:is>
      </x:c>
      <x:c t="inlineStr" r="BF131">
        <x:is>
          <x:t>Não</x:t>
        </x:is>
      </x:c>
      <x:c t="inlineStr" r="BG131"/>
      <x:c t="inlineStr" r="BH131">
        <x:is>
          <x:t/>
        </x:is>
      </x:c>
      <x:c t="inlineStr" r="BI131">
        <x:is>
          <x:t/>
        </x:is>
      </x:c>
      <x:c t="inlineStr" r="BJ131">
        <x:is>
          <x:t>Ao resgatar seus ingressos de gramado pelo app KMV, você ainda ganha R$ 100 em vale-combustível</x:t>
        </x:is>
      </x:c>
      <x:c t="inlineStr" r="BK131">
        <x:is>
          <x:t>Campanha: Parada Completa,Ipiranga,App KMV,Rock In Rio</x:t>
        </x:is>
      </x:c>
      <x:c t="inlineStr" r="BL131"/>
      <x:c t="inlineStr" r="BM131"/>
      <x:c t="inlineStr" r="BN131"/>
      <x:c t="inlineStr" r="BO131"/>
      <x:c t="inlineStr" r="BP131"/>
      <x:c t="inlineStr" r="BQ131"/>
      <x:c t="inlineStr" r="BR131"/>
      <x:c t="inlineStr" r="BS131"/>
      <x:c t="inlineStr" r="BT131"/>
      <x:c t="inlineStr" r="BU131"/>
      <x:c t="inlineStr" r="BV131"/>
      <x:c t="inlineStr" r="BW131"/>
      <x:c t="inlineStr" r="BX131"/>
      <x:c t="inlineStr" r="BY131">
        <x:is>
          <x:t>Campanha: Parada Completa</x:t>
        </x:is>
      </x:c>
      <x:c t="inlineStr" r="BZ131">
        <x:is>
          <x:t>Ipiranga</x:t>
        </x:is>
      </x:c>
      <x:c t="inlineStr" r="CA131"/>
      <x:c t="inlineStr" r="CB131"/>
      <x:c t="inlineStr" r="CC131"/>
      <x:c t="inlineStr" r="CD131">
        <x:is>
          <x:t>App KMV</x:t>
        </x:is>
      </x:c>
      <x:c t="inlineStr" r="CE131">
        <x:is>
          <x:t>Rock In Rio</x:t>
        </x:is>
      </x:c>
      <x:c t="inlineStr" r="CF131"/>
    </x:row>
    <x:row r="132">
      <x:c t="n" r="A132">
        <x:v>4100355954</x:v>
      </x:c>
      <x:c t="inlineStr" r="B132">
        <x:is>
          <x:t>20.08.2026</x:t>
        </x:is>
      </x:c>
      <x:c t="inlineStr" r="C132">
        <x:is>
          <x:t>17:00</x:t>
        </x:is>
      </x:c>
      <x:c t="inlineStr" r="D132">
        <x:is>
          <x:t>21.08.2026 13:58</x:t>
        </x:is>
      </x:c>
      <x:c t="inlineStr" r="E132">
        <x:is>
          <x:t/>
        </x:is>
      </x:c>
      <x:c t="str" r="F132">
        <x:v>Ingressos para o show que você esperava no Rock in Rio Brasil 2026 já estão disponíveis no app KMV!
 🎟️ 
Resgate seu ingresso de gramado usando pontos + dinheiro e ainda ganhe R$ 100 em vale-combustível. 
🚗 E, para deixar a experiência ainda mais completa, faça uma Parada Completa no Posto Ipiranga: abasteça com Ipimax, passe na AmPm ou no Jet Oil antes de seguir para o festival.
#Ipiranga #KMV #RockinRio2026</x:v>
      </x:c>
      <x:c t="inlineStr" r="G132">
        <x:is>
          <x:t/>
        </x:is>
      </x:c>
      <x:c t="inlineStr" r="H132"/>
      <x:c t="inlineStr" r="I132">
        <x:is>
          <x:t>Postar</x:t>
        </x:is>
      </x:c>
      <x:c t="inlineStr" r="J132">
        <x:is>
          <x:t>Texto,Imagem</x:t>
        </x:is>
      </x:c>
      <x:c t="inlineStr" r="K132"/>
      <x:c r="L132">
        <x:f>HYPERLINK("https://www.instagram.com/p/DcLSCAJs-z0/")</x:f>
      </x:c>
      <x:c t="inlineStr" r="M132">
        <x:is>
          <x:t>Negativo</x:t>
        </x:is>
      </x:c>
      <x:c t="inlineStr" r="N132">
        <x:is>
          <x:t>STRAY KIDS BRASIL | SKZBR</x:t>
        </x:is>
      </x:c>
      <x:c t="inlineStr" r="O132">
        <x:is>
          <x:t>realskzbrasil</x:t>
        </x:is>
      </x:c>
      <x:c r="P132">
        <x:f>HYPERLINK("http://instagram.com/realskzbrasil")</x:f>
      </x:c>
      <x:c t="n" r="Q132">
        <x:v>44747</x:v>
      </x:c>
      <x:c t="inlineStr" r="R132"/>
      <x:c t="inlineStr" r="S132"/>
      <x:c t="inlineStr" r="T132">
        <x:is>
          <x:t>instagram.com</x:t>
        </x:is>
      </x:c>
      <x:c t="inlineStr" r="U132">
        <x:is>
          <x:t>STRAY KIDS BRASIL | SKZBR</x:t>
        </x:is>
      </x:c>
      <x:c r="V132">
        <x:f>HYPERLINK("http://instagram.com/realskzbrasil")</x:f>
      </x:c>
      <x:c t="n" r="W132">
        <x:v>44747</x:v>
      </x:c>
      <x:c t="inlineStr" r="X132"/>
      <x:c t="inlineStr" r="Y132">
        <x:is>
          <x:t>Rede social</x:t>
        </x:is>
      </x:c>
      <x:c t="inlineStr" r="Z132">
        <x:is>
          <x:t>Português</x:t>
        </x:is>
      </x:c>
      <x:c t="inlineStr" r="AA132"/>
      <x:c t="inlineStr" r="AB132"/>
      <x:c t="inlineStr" r="AC132"/>
      <x:c t="inlineStr" r="AD132"/>
      <x:c t="n" r="AE132">
        <x:v>339</x:v>
      </x:c>
      <x:c t="n" r="AF132">
        <x:v>347</x:v>
      </x:c>
      <x:c t="n" r="AG132">
        <x:v>339</x:v>
      </x:c>
      <x:c t="inlineStr" r="AH132"/>
      <x:c t="inlineStr" r="AI132"/>
      <x:c t="inlineStr" r="AJ132"/>
      <x:c t="inlineStr" r="AK132"/>
      <x:c t="inlineStr" r="AL132"/>
      <x:c t="inlineStr" r="AM132"/>
      <x:c t="inlineStr" r="AN132"/>
      <x:c t="n" r="AO132">
        <x:v>8</x:v>
      </x:c>
      <x:c t="inlineStr" r="AP132"/>
      <x:c t="inlineStr" r="AQ132"/>
      <x:c t="inlineStr" r="AR132"/>
      <x:c t="inlineStr" r="AS132"/>
      <x:c t="inlineStr" r="AT132"/>
      <x:c t="n" r="AU132">
        <x:v>44747</x:v>
      </x:c>
      <x:c t="inlineStr" r="AV132"/>
      <x:c t="inlineStr" r="AW132">
        <x:is>
          <x:t/>
        </x:is>
      </x:c>
      <x:c t="inlineStr" r="AX132">
        <x:is>
          <x:t>text,poster</x:t>
        </x:is>
      </x:c>
      <x:c t="inlineStr" r="AY132">
        <x:is>
          <x:t/>
        </x:is>
      </x:c>
      <x:c t="inlineStr" r="AZ132">
        <x:is>
          <x:t/>
        </x:is>
      </x:c>
      <x:c t="inlineStr" r="BA132">
        <x:is>
          <x:t/>
        </x:is>
      </x:c>
      <x:c t="inlineStr" r="BB132">
        <x:is>
          <x:t>ILLUSTRATION</x:t>
        </x:is>
      </x:c>
      <x:c t="inlineStr" r="BC132">
        <x:is>
          <x:t>advertising</x:t>
        </x:is>
      </x:c>
      <x:c t="inlineStr" r="BD132">
        <x:is>
          <x:t>https://instagram.fadd3-1.fna.fbcdn.net/v/t51.82787-15/779048464_18366443527211564_3935346556588847443_n.webp?stp=dst-jpg_e15_fr_p1080x1080_tt6&amp;_nc_ht=instagram.fadd3-1.fna.fbcdn.net&amp;_nc_cat=108&amp;_nc_oc=Q6cZ2gHXrm6P4s77jJkLQTZaOHjN9MiGMbh4gNOWpKwBAetDLqmUzEBp-V0diJETDu18prc&amp;_nc_ohc=07j27SQxzqEQ7kNvwHCpaqd&amp;_nc_gid=a-yq-aV8vzgACW-IzbXYTA&amp;edm=AOQ1c0wBAAAA&amp;ccb=7-5&amp;oh=00_AQGSOg4_uhttyQI0DBeXBIwsdRurZJhpQUr9PmRCT5CKvQ&amp;oe=6A8E6C98&amp;_nc_sid=8b3546</x:t>
        </x:is>
      </x:c>
      <x:c t="inlineStr" r="BE132">
        <x:is>
          <x:t/>
        </x:is>
      </x:c>
      <x:c t="inlineStr" r="BF132">
        <x:is>
          <x:t>Não</x:t>
        </x:is>
      </x:c>
      <x:c t="inlineStr" r="BG132"/>
      <x:c t="inlineStr" r="BH132">
        <x:is>
          <x:t/>
        </x:is>
      </x:c>
      <x:c t="inlineStr" r="BI132">
        <x:is>
          <x:t>Promoção</x:t>
        </x:is>
      </x:c>
      <x:c t="inlineStr" r="BJ132"/>
      <x:c t="inlineStr" r="BK132">
        <x:is>
          <x:t>Franquia - Jet Oil,Franquia - AmPm,Ipimax,Campanha: Parada Completa,Ipiranga,App KMV,Rock In Rio</x:t>
        </x:is>
      </x:c>
      <x:c t="inlineStr" r="BL132"/>
      <x:c t="inlineStr" r="BM132"/>
      <x:c t="inlineStr" r="BN132"/>
      <x:c t="inlineStr" r="BO132"/>
      <x:c t="inlineStr" r="BP132"/>
      <x:c t="inlineStr" r="BQ132"/>
      <x:c t="inlineStr" r="BR132"/>
      <x:c t="inlineStr" r="BS132"/>
      <x:c t="inlineStr" r="BT132"/>
      <x:c t="inlineStr" r="BU132"/>
      <x:c t="inlineStr" r="BV132">
        <x:is>
          <x:t>Franquia - AmPm</x:t>
        </x:is>
      </x:c>
      <x:c t="inlineStr" r="BW132">
        <x:is>
          <x:t>Ipimax</x:t>
        </x:is>
      </x:c>
      <x:c t="inlineStr" r="BX132">
        <x:is>
          <x:t>Franquia - Jet Oil</x:t>
        </x:is>
      </x:c>
      <x:c t="inlineStr" r="BY132">
        <x:is>
          <x:t>Campanha: Parada Completa</x:t>
        </x:is>
      </x:c>
      <x:c t="inlineStr" r="BZ132">
        <x:is>
          <x:t>Ipiranga</x:t>
        </x:is>
      </x:c>
      <x:c t="inlineStr" r="CA132"/>
      <x:c t="inlineStr" r="CB132"/>
      <x:c t="inlineStr" r="CC132"/>
      <x:c t="inlineStr" r="CD132">
        <x:is>
          <x:t>App KMV</x:t>
        </x:is>
      </x:c>
      <x:c t="inlineStr" r="CE132">
        <x:is>
          <x:t>Rock In Rio</x:t>
        </x:is>
      </x:c>
      <x:c t="inlineStr" r="CF132"/>
    </x:row>
    <x:row r="133">
      <x:c t="n" r="A133">
        <x:v>2510372981</x:v>
      </x:c>
      <x:c t="inlineStr" r="B133">
        <x:is>
          <x:t>20.08.2026</x:t>
        </x:is>
      </x:c>
      <x:c t="inlineStr" r="C133">
        <x:is>
          <x:t>17:00</x:t>
        </x:is>
      </x:c>
      <x:c t="inlineStr" r="D133">
        <x:is>
          <x:t>20.08.2026 17:05</x:t>
        </x:is>
      </x:c>
      <x:c t="inlineStr" r="E133">
        <x:is>
          <x:t/>
        </x:is>
      </x:c>
      <x:c t="str" r="F133">
        <x:v>Ingressos para o show que você esperava no Rock in Rio Brasil 2026 já estão disponíveis no app KMV!
 🎟️ 
Resgate seu ingresso de gramado usando pontos + dinheiro e ainda ganhe R$ 100 em vale-combustível. 
🚗 E, para deixar a experiência ainda mais completa, faça uma Parada Completa no Posto Ipiranga: abasteça com Ipimax, passe na AmPm ou no Jet Oil antes de seguir para o festival.
#Ipiranga #KMV #RockinRio2026</x:v>
      </x:c>
      <x:c t="inlineStr" r="G133">
        <x:is>
          <x:t/>
        </x:is>
      </x:c>
      <x:c t="inlineStr" r="H133"/>
      <x:c t="inlineStr" r="I133">
        <x:is>
          <x:t>Postar</x:t>
        </x:is>
      </x:c>
      <x:c t="inlineStr" r="J133">
        <x:is>
          <x:t>Imagem,Texto</x:t>
        </x:is>
      </x:c>
      <x:c t="inlineStr" r="K133">
        <x:is>
          <x:t>TwitterNote</x:t>
        </x:is>
      </x:c>
      <x:c r="L133">
        <x:f>HYPERLINK("https://x.com/StrayKidsBrasil/status/2090529305759531481")</x:f>
      </x:c>
      <x:c t="inlineStr" r="M133">
        <x:is>
          <x:t>Negativo</x:t>
        </x:is>
      </x:c>
      <x:c t="inlineStr" r="N133">
        <x:is>
          <x:t>Stray Kids Brasil</x:t>
        </x:is>
      </x:c>
      <x:c t="inlineStr" r="O133">
        <x:is>
          <x:t>StrayKidsBrasil</x:t>
        </x:is>
      </x:c>
      <x:c r="P133">
        <x:f>HYPERLINK("http://x.com/StrayKidsBrasil")</x:f>
      </x:c>
      <x:c t="n" r="Q133">
        <x:v>195066</x:v>
      </x:c>
      <x:c t="inlineStr" r="R133"/>
      <x:c t="inlineStr" r="S133"/>
      <x:c t="inlineStr" r="T133">
        <x:is>
          <x:t>x.com</x:t>
        </x:is>
      </x:c>
      <x:c t="inlineStr" r="U133"/>
      <x:c t="inlineStr" r="V133"/>
      <x:c t="inlineStr" r="W133"/>
      <x:c t="inlineStr" r="X133"/>
      <x:c t="inlineStr" r="Y133">
        <x:is>
          <x:t>Rede social</x:t>
        </x:is>
      </x:c>
      <x:c t="inlineStr" r="Z133">
        <x:is>
          <x:t>Português</x:t>
        </x:is>
      </x:c>
      <x:c t="inlineStr" r="AA133"/>
      <x:c t="inlineStr" r="AB133"/>
      <x:c t="inlineStr" r="AC133"/>
      <x:c t="inlineStr" r="AD133"/>
      <x:c t="n" r="AE133">
        <x:v>44</x:v>
      </x:c>
      <x:c t="n" r="AF133">
        <x:v>54</x:v>
      </x:c>
      <x:c t="n" r="AG133">
        <x:v>44</x:v>
      </x:c>
      <x:c t="inlineStr" r="AH133"/>
      <x:c t="inlineStr" r="AI133"/>
      <x:c t="inlineStr" r="AJ133"/>
      <x:c t="inlineStr" r="AK133"/>
      <x:c t="inlineStr" r="AL133"/>
      <x:c t="inlineStr" r="AM133"/>
      <x:c t="inlineStr" r="AN133"/>
      <x:c t="n" r="AO133">
        <x:v>3</x:v>
      </x:c>
      <x:c t="n" r="AP133">
        <x:v>7</x:v>
      </x:c>
      <x:c t="n" r="AQ133">
        <x:v>5284</x:v>
      </x:c>
      <x:c t="inlineStr" r="AR133"/>
      <x:c t="inlineStr" r="AS133"/>
      <x:c t="n" r="AT133">
        <x:v>1</x:v>
      </x:c>
      <x:c t="n" r="AU133">
        <x:v>195066</x:v>
      </x:c>
      <x:c t="inlineStr" r="AV133"/>
      <x:c t="inlineStr" r="AW133">
        <x:is>
          <x:t/>
        </x:is>
      </x:c>
      <x:c t="inlineStr" r="AX133">
        <x:is>
          <x:t>text,poster</x:t>
        </x:is>
      </x:c>
      <x:c t="inlineStr" r="AY133">
        <x:is>
          <x:t/>
        </x:is>
      </x:c>
      <x:c t="inlineStr" r="AZ133">
        <x:is>
          <x:t/>
        </x:is>
      </x:c>
      <x:c t="inlineStr" r="BA133">
        <x:is>
          <x:t/>
        </x:is>
      </x:c>
      <x:c t="inlineStr" r="BB133">
        <x:is>
          <x:t>ILLUSTRATION</x:t>
        </x:is>
      </x:c>
      <x:c t="inlineStr" r="BC133">
        <x:is>
          <x:t>advertising</x:t>
        </x:is>
      </x:c>
      <x:c r="BD133">
        <x:f>HYPERLINK("https://pbs.twimg.com/media/HQB7GVVWMAEXXpH.jpg")</x:f>
      </x:c>
      <x:c t="inlineStr" r="BE133">
        <x:is>
          <x:t/>
        </x:is>
      </x:c>
      <x:c t="inlineStr" r="BF133">
        <x:is>
          <x:t>Não</x:t>
        </x:is>
      </x:c>
      <x:c t="inlineStr" r="BG133"/>
      <x:c t="inlineStr" r="BH133">
        <x:is>
          <x:t/>
        </x:is>
      </x:c>
      <x:c t="inlineStr" r="BI133">
        <x:is>
          <x:t>Promoção</x:t>
        </x:is>
      </x:c>
      <x:c t="inlineStr" r="BJ133"/>
      <x:c t="inlineStr" r="BK133">
        <x:is>
          <x:t>Franquia - Jet Oil,Franquia - AmPm,Ipimax,Campanha: Parada Completa,Ipiranga,App KMV,Rock In Rio</x:t>
        </x:is>
      </x:c>
      <x:c t="inlineStr" r="BL133"/>
      <x:c t="inlineStr" r="BM133"/>
      <x:c t="inlineStr" r="BN133"/>
      <x:c t="inlineStr" r="BO133"/>
      <x:c t="inlineStr" r="BP133"/>
      <x:c t="inlineStr" r="BQ133"/>
      <x:c t="inlineStr" r="BR133"/>
      <x:c t="inlineStr" r="BS133"/>
      <x:c t="inlineStr" r="BT133"/>
      <x:c t="inlineStr" r="BU133"/>
      <x:c t="inlineStr" r="BV133">
        <x:is>
          <x:t>Franquia - AmPm</x:t>
        </x:is>
      </x:c>
      <x:c t="inlineStr" r="BW133">
        <x:is>
          <x:t>Ipimax</x:t>
        </x:is>
      </x:c>
      <x:c t="inlineStr" r="BX133">
        <x:is>
          <x:t>Franquia - Jet Oil</x:t>
        </x:is>
      </x:c>
      <x:c t="inlineStr" r="BY133">
        <x:is>
          <x:t>Campanha: Parada Completa</x:t>
        </x:is>
      </x:c>
      <x:c t="inlineStr" r="BZ133">
        <x:is>
          <x:t>Ipiranga</x:t>
        </x:is>
      </x:c>
      <x:c t="inlineStr" r="CA133"/>
      <x:c t="inlineStr" r="CB133"/>
      <x:c t="inlineStr" r="CC133"/>
      <x:c t="inlineStr" r="CD133">
        <x:is>
          <x:t>App KMV</x:t>
        </x:is>
      </x:c>
      <x:c t="inlineStr" r="CE133">
        <x:is>
          <x:t>Rock In Rio</x:t>
        </x:is>
      </x:c>
      <x:c t="inlineStr" r="CF133"/>
    </x:row>
    <x:row r="134">
      <x:c t="n" r="A134">
        <x:v>1390352841</x:v>
      </x:c>
      <x:c t="inlineStr" r="B134">
        <x:is>
          <x:t>20.08.2026</x:t>
        </x:is>
      </x:c>
      <x:c t="inlineStr" r="C134">
        <x:is>
          <x:t>17:00</x:t>
        </x:is>
      </x:c>
      <x:c t="inlineStr" r="D134">
        <x:is>
          <x:t>20.08.2026 17:05</x:t>
        </x:is>
      </x:c>
      <x:c t="inlineStr" r="E134">
        <x:is>
          <x:t/>
        </x:is>
      </x:c>
      <x:c t="str" r="F134">
        <x:v>💜 Tem artista que faz parte da trilha sonora da nossa vida. Agora você pode viver esse momento ao vivo no Rock in Rio Brasil 2026. 
🎟️ Resgate seu ingresso de gramado pelo app KMV usando pontos + dinheiro e ainda ganhe R$ 100 em vale-combustível. 
Faça uma Parada Completa no Posto Ipiranga: abasteça com Ipimax, passe na AmPm ou no Jet Oil e fique preparado para curtir o melhor do festival.
#Ipiranga #KMV #RockinRio2026</x:v>
      </x:c>
      <x:c t="inlineStr" r="G134">
        <x:is>
          <x:t/>
        </x:is>
      </x:c>
      <x:c t="inlineStr" r="H134"/>
      <x:c t="inlineStr" r="I134">
        <x:is>
          <x:t>Postar</x:t>
        </x:is>
      </x:c>
      <x:c t="inlineStr" r="J134">
        <x:is>
          <x:t>Imagem,Texto</x:t>
        </x:is>
      </x:c>
      <x:c t="inlineStr" r="K134">
        <x:is>
          <x:t>TwitterNote</x:t>
        </x:is>
      </x:c>
      <x:c r="L134">
        <x:f>HYPERLINK("https://x.com/portallovato/status/2090529301175337374")</x:f>
      </x:c>
      <x:c t="inlineStr" r="M134">
        <x:is>
          <x:t>Negativo</x:t>
        </x:is>
      </x:c>
      <x:c t="inlineStr" r="N134">
        <x:is>
          <x:t>Portal Lovato</x:t>
        </x:is>
      </x:c>
      <x:c t="inlineStr" r="O134">
        <x:is>
          <x:t>portallovato</x:t>
        </x:is>
      </x:c>
      <x:c r="P134">
        <x:f>HYPERLINK("http://x.com/portallovato")</x:f>
      </x:c>
      <x:c t="n" r="Q134">
        <x:v>133512</x:v>
      </x:c>
      <x:c t="inlineStr" r="R134"/>
      <x:c t="inlineStr" r="S134"/>
      <x:c t="inlineStr" r="T134">
        <x:is>
          <x:t>x.com</x:t>
        </x:is>
      </x:c>
      <x:c t="inlineStr" r="U134"/>
      <x:c t="inlineStr" r="V134"/>
      <x:c t="inlineStr" r="W134"/>
      <x:c t="inlineStr" r="X134"/>
      <x:c t="inlineStr" r="Y134">
        <x:is>
          <x:t>Rede social</x:t>
        </x:is>
      </x:c>
      <x:c t="inlineStr" r="Z134">
        <x:is>
          <x:t>Português</x:t>
        </x:is>
      </x:c>
      <x:c t="inlineStr" r="AA134">
        <x:is>
          <x:t>Brasil</x:t>
        </x:is>
      </x:c>
      <x:c t="inlineStr" r="AB134"/>
      <x:c t="inlineStr" r="AC134"/>
      <x:c t="inlineStr" r="AD134"/>
      <x:c t="n" r="AE134">
        <x:v>42</x:v>
      </x:c>
      <x:c t="n" r="AF134">
        <x:v>49</x:v>
      </x:c>
      <x:c t="n" r="AG134">
        <x:v>42</x:v>
      </x:c>
      <x:c t="inlineStr" r="AH134"/>
      <x:c t="inlineStr" r="AI134"/>
      <x:c t="inlineStr" r="AJ134"/>
      <x:c t="inlineStr" r="AK134"/>
      <x:c t="inlineStr" r="AL134"/>
      <x:c t="inlineStr" r="AM134"/>
      <x:c t="inlineStr" r="AN134"/>
      <x:c t="n" r="AO134">
        <x:v>2</x:v>
      </x:c>
      <x:c t="n" r="AP134">
        <x:v>5</x:v>
      </x:c>
      <x:c t="n" r="AQ134">
        <x:v>3559</x:v>
      </x:c>
      <x:c t="inlineStr" r="AR134"/>
      <x:c t="inlineStr" r="AS134"/>
      <x:c t="n" r="AT134">
        <x:v>2</x:v>
      </x:c>
      <x:c t="n" r="AU134">
        <x:v>133512</x:v>
      </x:c>
      <x:c t="inlineStr" r="AV134"/>
      <x:c t="inlineStr" r="AW134">
        <x:is>
          <x:t/>
        </x:is>
      </x:c>
      <x:c t="inlineStr" r="AX134">
        <x:is>
          <x:t>text,poster</x:t>
        </x:is>
      </x:c>
      <x:c t="inlineStr" r="AY134">
        <x:is>
          <x:t/>
        </x:is>
      </x:c>
      <x:c t="inlineStr" r="AZ134">
        <x:is>
          <x:t/>
        </x:is>
      </x:c>
      <x:c t="inlineStr" r="BA134">
        <x:is>
          <x:t/>
        </x:is>
      </x:c>
      <x:c t="inlineStr" r="BB134">
        <x:is>
          <x:t>ILLUSTRATION</x:t>
        </x:is>
      </x:c>
      <x:c t="inlineStr" r="BC134">
        <x:is>
          <x:t>advertising</x:t>
        </x:is>
      </x:c>
      <x:c r="BD134">
        <x:f>HYPERLINK("https://pbs.twimg.com/media/HQHv5oiXQAA_0gh.jpg")</x:f>
      </x:c>
      <x:c t="inlineStr" r="BE134">
        <x:is>
          <x:t/>
        </x:is>
      </x:c>
      <x:c t="inlineStr" r="BF134">
        <x:is>
          <x:t>Não</x:t>
        </x:is>
      </x:c>
      <x:c t="inlineStr" r="BG134"/>
      <x:c t="inlineStr" r="BH134">
        <x:is>
          <x:t/>
        </x:is>
      </x:c>
      <x:c t="inlineStr" r="BI134">
        <x:is>
          <x:t>Promoção</x:t>
        </x:is>
      </x:c>
      <x:c t="inlineStr" r="BJ134"/>
      <x:c t="inlineStr" r="BK134">
        <x:is>
          <x:t>Franquia - Jet Oil,Franquia - AmPm,Ipimax,Campanha: Parada Completa,Ipiranga,App KMV,Rock In Rio</x:t>
        </x:is>
      </x:c>
      <x:c t="inlineStr" r="BL134"/>
      <x:c t="inlineStr" r="BM134"/>
      <x:c t="inlineStr" r="BN134"/>
      <x:c t="inlineStr" r="BO134"/>
      <x:c t="inlineStr" r="BP134"/>
      <x:c t="inlineStr" r="BQ134"/>
      <x:c t="inlineStr" r="BR134"/>
      <x:c t="inlineStr" r="BS134"/>
      <x:c t="inlineStr" r="BT134"/>
      <x:c t="inlineStr" r="BU134"/>
      <x:c t="inlineStr" r="BV134">
        <x:is>
          <x:t>Franquia - AmPm</x:t>
        </x:is>
      </x:c>
      <x:c t="inlineStr" r="BW134">
        <x:is>
          <x:t>Ipimax</x:t>
        </x:is>
      </x:c>
      <x:c t="inlineStr" r="BX134">
        <x:is>
          <x:t>Franquia - Jet Oil</x:t>
        </x:is>
      </x:c>
      <x:c t="inlineStr" r="BY134">
        <x:is>
          <x:t>Campanha: Parada Completa</x:t>
        </x:is>
      </x:c>
      <x:c t="inlineStr" r="BZ134">
        <x:is>
          <x:t>Ipiranga</x:t>
        </x:is>
      </x:c>
      <x:c t="inlineStr" r="CA134"/>
      <x:c t="inlineStr" r="CB134"/>
      <x:c t="inlineStr" r="CC134"/>
      <x:c t="inlineStr" r="CD134">
        <x:is>
          <x:t>App KMV</x:t>
        </x:is>
      </x:c>
      <x:c t="inlineStr" r="CE134">
        <x:is>
          <x:t>Rock In Rio</x:t>
        </x:is>
      </x:c>
      <x:c t="inlineStr" r="CF134"/>
    </x:row>
    <x:row r="135">
      <x:c t="n" r="A135">
        <x:v>834332032</x:v>
      </x:c>
      <x:c t="inlineStr" r="B135">
        <x:is>
          <x:t>20.08.2026</x:t>
        </x:is>
      </x:c>
      <x:c t="inlineStr" r="C135">
        <x:is>
          <x:t>16:01</x:t>
        </x:is>
      </x:c>
      <x:c t="inlineStr" r="D135">
        <x:is>
          <x:t>21.08.2026 08:49</x:t>
        </x:is>
      </x:c>
      <x:c t="inlineStr" r="E135">
        <x:is>
          <x:t/>
        </x:is>
      </x:c>
      <x:c t="str" r="F135">
        <x:v>O show do seu coração está mais perto do que você imagina: é só abrir o app KMV.
🎟️ Resgate seu ingresso para o Rock In Rio Brasil 2026usando seus pontos + dinheiro e ganhe R$ 100 em vale-combustível. 
#Ipiranga #KMV #RockinRio2026</x:v>
      </x:c>
      <x:c t="inlineStr" r="G135">
        <x:is>
          <x:t/>
        </x:is>
      </x:c>
      <x:c t="inlineStr" r="H135"/>
      <x:c t="inlineStr" r="I135">
        <x:is>
          <x:t>Repost</x:t>
        </x:is>
      </x:c>
      <x:c t="inlineStr" r="J135">
        <x:is>
          <x:t>Imagem,Texto</x:t>
        </x:is>
      </x:c>
      <x:c t="inlineStr" r="K135"/>
      <x:c r="L135">
        <x:f>HYPERLINK("https://x.com/ipiranga/status/2090514460339318787")</x:f>
      </x:c>
      <x:c t="inlineStr" r="M135">
        <x:is>
          <x:t>Negativo</x:t>
        </x:is>
      </x:c>
      <x:c t="inlineStr" r="N135">
        <x:is>
          <x:t>Ipiranga</x:t>
        </x:is>
      </x:c>
      <x:c t="inlineStr" r="O135">
        <x:is>
          <x:t>ipiranga</x:t>
        </x:is>
      </x:c>
      <x:c r="P135">
        <x:f>HYPERLINK("http://x.com/ipiranga")</x:f>
      </x:c>
      <x:c t="n" r="Q135">
        <x:v>15139</x:v>
      </x:c>
      <x:c t="inlineStr" r="R135"/>
      <x:c t="inlineStr" r="S135"/>
      <x:c t="inlineStr" r="T135">
        <x:is>
          <x:t>x.com</x:t>
        </x:is>
      </x:c>
      <x:c t="inlineStr" r="U135"/>
      <x:c t="inlineStr" r="V135"/>
      <x:c t="inlineStr" r="W135"/>
      <x:c t="inlineStr" r="X135"/>
      <x:c t="inlineStr" r="Y135">
        <x:is>
          <x:t>Rede social</x:t>
        </x:is>
      </x:c>
      <x:c t="inlineStr" r="Z135">
        <x:is>
          <x:t>Português</x:t>
        </x:is>
      </x:c>
      <x:c t="inlineStr" r="AA135">
        <x:is>
          <x:t>Brasil</x:t>
        </x:is>
      </x:c>
      <x:c t="inlineStr" r="AB135">
        <x:is>
          <x:t>Rio de Janeiro</x:t>
        </x:is>
      </x:c>
      <x:c t="inlineStr" r="AC135"/>
      <x:c t="inlineStr" r="AD135"/>
      <x:c t="inlineStr" r="AE135"/>
      <x:c t="n" r="AF135">
        <x:v>0</x:v>
      </x:c>
      <x:c t="inlineStr" r="AG135"/>
      <x:c t="inlineStr" r="AH135"/>
      <x:c t="inlineStr" r="AI135"/>
      <x:c t="inlineStr" r="AJ135"/>
      <x:c t="inlineStr" r="AK135"/>
      <x:c t="inlineStr" r="AL135"/>
      <x:c t="inlineStr" r="AM135"/>
      <x:c t="inlineStr" r="AN135"/>
      <x:c t="inlineStr" r="AO135"/>
      <x:c t="inlineStr" r="AP135"/>
      <x:c t="inlineStr" r="AQ135"/>
      <x:c t="inlineStr" r="AR135"/>
      <x:c t="inlineStr" r="AS135"/>
      <x:c t="inlineStr" r="AT135"/>
      <x:c t="n" r="AU135">
        <x:v>15139</x:v>
      </x:c>
      <x:c t="inlineStr" r="AV135"/>
      <x:c t="inlineStr" r="AW135">
        <x:is>
          <x:t>Ipiranga</x:t>
        </x:is>
      </x:c>
      <x:c t="inlineStr" r="AX135">
        <x:is>
          <x:t>text,poster</x:t>
        </x:is>
      </x:c>
      <x:c t="inlineStr" r="AY135">
        <x:is>
          <x:t/>
        </x:is>
      </x:c>
      <x:c t="inlineStr" r="AZ135">
        <x:is>
          <x:t/>
        </x:is>
      </x:c>
      <x:c t="inlineStr" r="BA135">
        <x:is>
          <x:t/>
        </x:is>
      </x:c>
      <x:c t="inlineStr" r="BB135">
        <x:is>
          <x:t>ILLUSTRATION</x:t>
        </x:is>
      </x:c>
      <x:c t="inlineStr" r="BC135">
        <x:is>
          <x:t>advertising</x:t>
        </x:is>
      </x:c>
      <x:c r="BD135">
        <x:f>HYPERLINK("https://pbs.twimg.com/media/HQB-rmJWMAAN7Dl.jpg")</x:f>
      </x:c>
      <x:c t="inlineStr" r="BE135">
        <x:is>
          <x:t/>
        </x:is>
      </x:c>
      <x:c t="inlineStr" r="BF135">
        <x:is>
          <x:t>Não</x:t>
        </x:is>
      </x:c>
      <x:c t="inlineStr" r="BG135"/>
      <x:c t="inlineStr" r="BH135">
        <x:is>
          <x:t/>
        </x:is>
      </x:c>
      <x:c t="inlineStr" r="BI135">
        <x:is>
          <x:t>Giveaway</x:t>
        </x:is>
      </x:c>
      <x:c t="inlineStr" r="BJ135"/>
      <x:c t="inlineStr" r="BK135">
        <x:is>
          <x:t>Ipiranga - Contas Oficiais,Ipiranga,App KMV,Rock In Rio</x:t>
        </x:is>
      </x:c>
      <x:c t="inlineStr" r="BL135"/>
      <x:c t="inlineStr" r="BM135"/>
      <x:c t="inlineStr" r="BN135"/>
      <x:c t="inlineStr" r="BO135"/>
      <x:c t="inlineStr" r="BP135"/>
      <x:c t="inlineStr" r="BQ135">
        <x:is>
          <x:t>Ipiranga - Contas Oficiais</x:t>
        </x:is>
      </x:c>
      <x:c t="inlineStr" r="BR135"/>
      <x:c t="inlineStr" r="BS135"/>
      <x:c t="inlineStr" r="BT135"/>
      <x:c t="inlineStr" r="BU135"/>
      <x:c t="inlineStr" r="BV135"/>
      <x:c t="inlineStr" r="BW135"/>
      <x:c t="inlineStr" r="BX135"/>
      <x:c t="inlineStr" r="BY135"/>
      <x:c t="inlineStr" r="BZ135">
        <x:is>
          <x:t>Ipiranga</x:t>
        </x:is>
      </x:c>
      <x:c t="inlineStr" r="CA135"/>
      <x:c t="inlineStr" r="CB135"/>
      <x:c t="inlineStr" r="CC135"/>
      <x:c t="inlineStr" r="CD135">
        <x:is>
          <x:t>App KMV</x:t>
        </x:is>
      </x:c>
      <x:c t="inlineStr" r="CE135">
        <x:is>
          <x:t>Rock In Rio</x:t>
        </x:is>
      </x:c>
      <x:c t="inlineStr" r="CF135"/>
    </x:row>
    <x:row r="136">
      <x:c t="n" r="A136">
        <x:v>19232641</x:v>
      </x:c>
      <x:c t="inlineStr" r="B136">
        <x:is>
          <x:t>20.08.2026</x:t>
        </x:is>
      </x:c>
      <x:c t="inlineStr" r="C136">
        <x:is>
          <x:t>15:57</x:t>
        </x:is>
      </x:c>
      <x:c t="inlineStr" r="D136">
        <x:is>
          <x:t>21.08.2026 08:50</x:t>
        </x:is>
      </x:c>
      <x:c t="inlineStr" r="E136">
        <x:is>
          <x:t/>
        </x:is>
      </x:c>
      <x:c t="str" r="F136">
        <x:v>O palco no Rock In Rio Brasil 2026 é dela. O ingresso pode ser seu.
🎟️ Resgate seu ingresso de gramado pelo app KMV usando pontos + dinheiro e ainda ganhe
R$ 100 em vale-combustível.
Depois é só fazer uma Parada Completa no Ipiranga e partir pro festival. 🚗⛽️
#Ipiranga #KMV #RockinRio2026</x:v>
      </x:c>
      <x:c t="inlineStr" r="G136">
        <x:is>
          <x:t/>
        </x:is>
      </x:c>
      <x:c t="inlineStr" r="H136"/>
      <x:c t="inlineStr" r="I136">
        <x:is>
          <x:t>Repost</x:t>
        </x:is>
      </x:c>
      <x:c t="inlineStr" r="J136">
        <x:is>
          <x:t>Imagem,Texto</x:t>
        </x:is>
      </x:c>
      <x:c t="inlineStr" r="K136"/>
      <x:c r="L136">
        <x:f>HYPERLINK("https://x.com/ipiranga/status/2090513591619194916")</x:f>
      </x:c>
      <x:c t="inlineStr" r="M136">
        <x:is>
          <x:t>Negativo</x:t>
        </x:is>
      </x:c>
      <x:c t="inlineStr" r="N136">
        <x:is>
          <x:t>Ipiranga</x:t>
        </x:is>
      </x:c>
      <x:c t="inlineStr" r="O136">
        <x:is>
          <x:t>ipiranga</x:t>
        </x:is>
      </x:c>
      <x:c r="P136">
        <x:f>HYPERLINK("http://x.com/ipiranga")</x:f>
      </x:c>
      <x:c t="n" r="Q136">
        <x:v>15139</x:v>
      </x:c>
      <x:c t="inlineStr" r="R136"/>
      <x:c t="inlineStr" r="S136"/>
      <x:c t="inlineStr" r="T136">
        <x:is>
          <x:t>x.com</x:t>
        </x:is>
      </x:c>
      <x:c t="inlineStr" r="U136"/>
      <x:c t="inlineStr" r="V136"/>
      <x:c t="inlineStr" r="W136"/>
      <x:c t="inlineStr" r="X136"/>
      <x:c t="inlineStr" r="Y136">
        <x:is>
          <x:t>Rede social</x:t>
        </x:is>
      </x:c>
      <x:c t="inlineStr" r="Z136">
        <x:is>
          <x:t>Português</x:t>
        </x:is>
      </x:c>
      <x:c t="inlineStr" r="AA136">
        <x:is>
          <x:t>Brasil</x:t>
        </x:is>
      </x:c>
      <x:c t="inlineStr" r="AB136">
        <x:is>
          <x:t>Rio de Janeiro</x:t>
        </x:is>
      </x:c>
      <x:c t="inlineStr" r="AC136"/>
      <x:c t="inlineStr" r="AD136"/>
      <x:c t="inlineStr" r="AE136"/>
      <x:c t="n" r="AF136">
        <x:v>0</x:v>
      </x:c>
      <x:c t="inlineStr" r="AG136"/>
      <x:c t="inlineStr" r="AH136"/>
      <x:c t="inlineStr" r="AI136"/>
      <x:c t="inlineStr" r="AJ136"/>
      <x:c t="inlineStr" r="AK136"/>
      <x:c t="inlineStr" r="AL136"/>
      <x:c t="inlineStr" r="AM136"/>
      <x:c t="inlineStr" r="AN136"/>
      <x:c t="inlineStr" r="AO136"/>
      <x:c t="inlineStr" r="AP136"/>
      <x:c t="inlineStr" r="AQ136"/>
      <x:c t="inlineStr" r="AR136"/>
      <x:c t="inlineStr" r="AS136"/>
      <x:c t="inlineStr" r="AT136"/>
      <x:c t="n" r="AU136">
        <x:v>15139</x:v>
      </x:c>
      <x:c t="inlineStr" r="AV136"/>
      <x:c t="inlineStr" r="AW136">
        <x:is>
          <x:t>Ipiranga</x:t>
        </x:is>
      </x:c>
      <x:c t="inlineStr" r="AX136">
        <x:is>
          <x:t>text,poster</x:t>
        </x:is>
      </x:c>
      <x:c t="inlineStr" r="AY136">
        <x:is>
          <x:t/>
        </x:is>
      </x:c>
      <x:c t="inlineStr" r="AZ136">
        <x:is>
          <x:t/>
        </x:is>
      </x:c>
      <x:c t="inlineStr" r="BA136">
        <x:is>
          <x:t/>
        </x:is>
      </x:c>
      <x:c t="inlineStr" r="BB136">
        <x:is>
          <x:t>ILLUSTRATION</x:t>
        </x:is>
      </x:c>
      <x:c t="inlineStr" r="BC136">
        <x:is>
          <x:t>advertising</x:t>
        </x:is>
      </x:c>
      <x:c r="BD136">
        <x:f>HYPERLINK("https://pbs.twimg.com/media/HQB7JO-XcAAbxfF.jpg")</x:f>
      </x:c>
      <x:c t="inlineStr" r="BE136">
        <x:is>
          <x:t/>
        </x:is>
      </x:c>
      <x:c t="inlineStr" r="BF136">
        <x:is>
          <x:t>Não</x:t>
        </x:is>
      </x:c>
      <x:c t="inlineStr" r="BG136"/>
      <x:c t="inlineStr" r="BH136">
        <x:is>
          <x:t/>
        </x:is>
      </x:c>
      <x:c t="inlineStr" r="BI136">
        <x:is>
          <x:t>Giveaway</x:t>
        </x:is>
      </x:c>
      <x:c t="inlineStr" r="BJ136"/>
      <x:c t="inlineStr" r="BK136">
        <x:is>
          <x:t>Ipiranga - Contas Oficiais,Campanha: Parada Completa,Ipiranga,App KMV,Rock In Rio</x:t>
        </x:is>
      </x:c>
      <x:c t="inlineStr" r="BL136"/>
      <x:c t="inlineStr" r="BM136"/>
      <x:c t="inlineStr" r="BN136"/>
      <x:c t="inlineStr" r="BO136"/>
      <x:c t="inlineStr" r="BP136"/>
      <x:c t="inlineStr" r="BQ136">
        <x:is>
          <x:t>Ipiranga - Contas Oficiais</x:t>
        </x:is>
      </x:c>
      <x:c t="inlineStr" r="BR136"/>
      <x:c t="inlineStr" r="BS136"/>
      <x:c t="inlineStr" r="BT136"/>
      <x:c t="inlineStr" r="BU136"/>
      <x:c t="inlineStr" r="BV136"/>
      <x:c t="inlineStr" r="BW136"/>
      <x:c t="inlineStr" r="BX136"/>
      <x:c t="inlineStr" r="BY136">
        <x:is>
          <x:t>Campanha: Parada Completa</x:t>
        </x:is>
      </x:c>
      <x:c t="inlineStr" r="BZ136">
        <x:is>
          <x:t>Ipiranga</x:t>
        </x:is>
      </x:c>
      <x:c t="inlineStr" r="CA136"/>
      <x:c t="inlineStr" r="CB136"/>
      <x:c t="inlineStr" r="CC136"/>
      <x:c t="inlineStr" r="CD136">
        <x:is>
          <x:t>App KMV</x:t>
        </x:is>
      </x:c>
      <x:c t="inlineStr" r="CE136">
        <x:is>
          <x:t>Rock In Rio</x:t>
        </x:is>
      </x:c>
      <x:c t="inlineStr" r="CF136"/>
    </x:row>
    <x:row r="137">
      <x:c t="n" r="A137">
        <x:v>4039687064</x:v>
      </x:c>
      <x:c t="inlineStr" r="B137">
        <x:is>
          <x:t>20.08.2026</x:t>
        </x:is>
      </x:c>
      <x:c t="inlineStr" r="C137">
        <x:is>
          <x:t>15:44</x:t>
        </x:is>
      </x:c>
      <x:c t="inlineStr" r="D137">
        <x:is>
          <x:t>21.08.2026 08:50</x:t>
        </x:is>
      </x:c>
      <x:c t="inlineStr" r="E137">
        <x:is>
          <x:t/>
        </x:is>
      </x:c>
      <x:c t="str" r="F137">
        <x:v>🎟️ Resgate seu ingresso de gramado pelo app KMV usando pontos + dinheiro e ainda ganhe R$ 100 em vale-combustível.
Depois é só fazer uma Parada Completa no Ipiranga e partir pro festival. ⛽🚗
#Ipiranga #KMV #RockinRio2026
Resgate aqui:
https://www.ipiranga.com.br/wps/portal/pt-br/ipiranga/a-ipiranga/campanhas-e-acoes/promocoes-e-ofertas/rock-in-rio?utm_source=none&amp;utm_medium=organico&amp;utm_campaign=kmv_none_aw_imagem_sust_kmv_rock-in-rio-26_organico_none_fandom_none_40241_auto_none_none_fandom_none_img_dti_none&amp;fbclid=PAVERFWATxZ2ZwZG9mAmZkaWQWUMuYX5ecys6-FUK7nDno-I6Xd8nxjmV4dG4DYWVtAjEwAHNydGMGYXBwX2lkDzEyNDAyNDU3NDI4NzQxNAABp4YSVv3zxa1rQ1FATpWAJt1sct0aEmEIPQZJ7EzUe9nGzDXAefqN94GFKXzG_aem_W92XApxj-_V5jK5d3ayRLQ</x:v>
      </x:c>
      <x:c t="inlineStr" r="G137">
        <x:is>
          <x:t/>
        </x:is>
      </x:c>
      <x:c t="inlineStr" r="H137"/>
      <x:c t="inlineStr" r="I137">
        <x:is>
          <x:t>Repost</x:t>
        </x:is>
      </x:c>
      <x:c t="inlineStr" r="J137">
        <x:is>
          <x:t>Imagem,Texto</x:t>
        </x:is>
      </x:c>
      <x:c t="inlineStr" r="K137"/>
      <x:c r="L137">
        <x:f>HYPERLINK("https://x.com/ipiranga/status/2090510327842484534")</x:f>
      </x:c>
      <x:c t="inlineStr" r="M137">
        <x:is>
          <x:t>Negativo</x:t>
        </x:is>
      </x:c>
      <x:c t="inlineStr" r="N137">
        <x:is>
          <x:t>Ipiranga</x:t>
        </x:is>
      </x:c>
      <x:c t="inlineStr" r="O137">
        <x:is>
          <x:t>ipiranga</x:t>
        </x:is>
      </x:c>
      <x:c r="P137">
        <x:f>HYPERLINK("http://x.com/ipiranga")</x:f>
      </x:c>
      <x:c t="n" r="Q137">
        <x:v>15139</x:v>
      </x:c>
      <x:c t="inlineStr" r="R137"/>
      <x:c t="inlineStr" r="S137"/>
      <x:c t="inlineStr" r="T137">
        <x:is>
          <x:t>x.com</x:t>
        </x:is>
      </x:c>
      <x:c t="inlineStr" r="U137"/>
      <x:c t="inlineStr" r="V137"/>
      <x:c t="inlineStr" r="W137"/>
      <x:c t="inlineStr" r="X137"/>
      <x:c t="inlineStr" r="Y137">
        <x:is>
          <x:t>Rede social</x:t>
        </x:is>
      </x:c>
      <x:c t="inlineStr" r="Z137">
        <x:is>
          <x:t>Português</x:t>
        </x:is>
      </x:c>
      <x:c t="inlineStr" r="AA137">
        <x:is>
          <x:t>Brasil</x:t>
        </x:is>
      </x:c>
      <x:c t="inlineStr" r="AB137">
        <x:is>
          <x:t>Rio de Janeiro</x:t>
        </x:is>
      </x:c>
      <x:c t="inlineStr" r="AC137"/>
      <x:c t="inlineStr" r="AD137"/>
      <x:c t="inlineStr" r="AE137"/>
      <x:c t="n" r="AF137">
        <x:v>0</x:v>
      </x:c>
      <x:c t="inlineStr" r="AG137"/>
      <x:c t="inlineStr" r="AH137"/>
      <x:c t="inlineStr" r="AI137"/>
      <x:c t="inlineStr" r="AJ137"/>
      <x:c t="inlineStr" r="AK137"/>
      <x:c t="inlineStr" r="AL137"/>
      <x:c t="inlineStr" r="AM137"/>
      <x:c t="inlineStr" r="AN137"/>
      <x:c t="inlineStr" r="AO137"/>
      <x:c t="inlineStr" r="AP137"/>
      <x:c t="inlineStr" r="AQ137"/>
      <x:c t="inlineStr" r="AR137"/>
      <x:c t="inlineStr" r="AS137"/>
      <x:c t="inlineStr" r="AT137"/>
      <x:c t="n" r="AU137">
        <x:v>15139</x:v>
      </x:c>
      <x:c t="inlineStr" r="AV137"/>
      <x:c t="inlineStr" r="AW137">
        <x:is>
          <x:t>Ipiranga</x:t>
        </x:is>
      </x:c>
      <x:c t="inlineStr" r="AX137">
        <x:is>
          <x:t>text,poster</x:t>
        </x:is>
      </x:c>
      <x:c t="inlineStr" r="AY137">
        <x:is>
          <x:t/>
        </x:is>
      </x:c>
      <x:c t="inlineStr" r="AZ137">
        <x:is>
          <x:t/>
        </x:is>
      </x:c>
      <x:c t="inlineStr" r="BA137">
        <x:is>
          <x:t/>
        </x:is>
      </x:c>
      <x:c t="inlineStr" r="BB137">
        <x:is>
          <x:t>ILLUSTRATION</x:t>
        </x:is>
      </x:c>
      <x:c t="inlineStr" r="BC137">
        <x:is>
          <x:t>advertising</x:t>
        </x:is>
      </x:c>
      <x:c r="BD137">
        <x:f>HYPERLINK("https://pbs.twimg.com/media/HQB8i0KXEAA8p2_.jpg")</x:f>
      </x:c>
      <x:c t="inlineStr" r="BE137">
        <x:is>
          <x:t/>
        </x:is>
      </x:c>
      <x:c t="inlineStr" r="BF137">
        <x:is>
          <x:t>Não</x:t>
        </x:is>
      </x:c>
      <x:c t="inlineStr" r="BG137"/>
      <x:c t="inlineStr" r="BH137">
        <x:is>
          <x:t/>
        </x:is>
      </x:c>
      <x:c t="inlineStr" r="BI137">
        <x:is>
          <x:t>Giveaway</x:t>
        </x:is>
      </x:c>
      <x:c t="inlineStr" r="BJ137"/>
      <x:c t="inlineStr" r="BK137">
        <x:is>
          <x:t>Ipiranga - Contas Oficiais,Campanha: Parada Completa,Ipiranga,App KMV,Rock In Rio</x:t>
        </x:is>
      </x:c>
      <x:c t="inlineStr" r="BL137"/>
      <x:c t="inlineStr" r="BM137"/>
      <x:c t="inlineStr" r="BN137"/>
      <x:c t="inlineStr" r="BO137"/>
      <x:c t="inlineStr" r="BP137"/>
      <x:c t="inlineStr" r="BQ137">
        <x:is>
          <x:t>Ipiranga - Contas Oficiais</x:t>
        </x:is>
      </x:c>
      <x:c t="inlineStr" r="BR137"/>
      <x:c t="inlineStr" r="BS137"/>
      <x:c t="inlineStr" r="BT137"/>
      <x:c t="inlineStr" r="BU137"/>
      <x:c t="inlineStr" r="BV137"/>
      <x:c t="inlineStr" r="BW137"/>
      <x:c t="inlineStr" r="BX137"/>
      <x:c t="inlineStr" r="BY137">
        <x:is>
          <x:t>Campanha: Parada Completa</x:t>
        </x:is>
      </x:c>
      <x:c t="inlineStr" r="BZ137">
        <x:is>
          <x:t>Ipiranga</x:t>
        </x:is>
      </x:c>
      <x:c t="inlineStr" r="CA137"/>
      <x:c t="inlineStr" r="CB137"/>
      <x:c t="inlineStr" r="CC137"/>
      <x:c t="inlineStr" r="CD137">
        <x:is>
          <x:t>App KMV</x:t>
        </x:is>
      </x:c>
      <x:c t="inlineStr" r="CE137">
        <x:is>
          <x:t>Rock In Rio</x:t>
        </x:is>
      </x:c>
      <x:c t="inlineStr" r="CF137"/>
    </x:row>
    <x:row r="138">
      <x:c t="n" r="A138">
        <x:v>700789751</x:v>
      </x:c>
      <x:c t="inlineStr" r="B138">
        <x:is>
          <x:t>20.08.2026</x:t>
        </x:is>
      </x:c>
      <x:c t="inlineStr" r="C138">
        <x:is>
          <x:t>15:43</x:t>
        </x:is>
      </x:c>
      <x:c t="inlineStr" r="D138">
        <x:is>
          <x:t>21.08.2026 08:49</x:t>
        </x:is>
      </x:c>
      <x:c t="inlineStr" r="E138">
        <x:is>
          <x:t/>
        </x:is>
      </x:c>
      <x:c t="str" r="F138">
        <x:v>🎟️ Os ingressos para o show mais aguardado pelos fãs no Rock in Rio Brasil 2026 já estão disponíveis no app KMV. 
Resgate seu ingresso de gramado usando pontos + dinheiro e ainda ganhe R$ 100 em vale-combustível.
Faça uma Parada Completa no Posto Ipiranga: abasteça com Ipimax, passe na AmPm ou no Jet Oil e se prepare para curtir o melhor do festival.
#Ipiranga #KMV #RockinRio2026</x:v>
      </x:c>
      <x:c t="inlineStr" r="G138">
        <x:is>
          <x:t/>
        </x:is>
      </x:c>
      <x:c t="inlineStr" r="H138"/>
      <x:c t="inlineStr" r="I138">
        <x:is>
          <x:t>Repost</x:t>
        </x:is>
      </x:c>
      <x:c t="inlineStr" r="J138">
        <x:is>
          <x:t>Imagem,Texto</x:t>
        </x:is>
      </x:c>
      <x:c t="inlineStr" r="K138"/>
      <x:c r="L138">
        <x:f>HYPERLINK("https://x.com/ipiranga/status/2090510088230375899")</x:f>
      </x:c>
      <x:c t="inlineStr" r="M138">
        <x:is>
          <x:t>Negativo</x:t>
        </x:is>
      </x:c>
      <x:c t="inlineStr" r="N138">
        <x:is>
          <x:t>Ipiranga</x:t>
        </x:is>
      </x:c>
      <x:c t="inlineStr" r="O138">
        <x:is>
          <x:t>ipiranga</x:t>
        </x:is>
      </x:c>
      <x:c r="P138">
        <x:f>HYPERLINK("http://x.com/ipiranga")</x:f>
      </x:c>
      <x:c t="n" r="Q138">
        <x:v>15139</x:v>
      </x:c>
      <x:c t="inlineStr" r="R138"/>
      <x:c t="inlineStr" r="S138"/>
      <x:c t="inlineStr" r="T138">
        <x:is>
          <x:t>x.com</x:t>
        </x:is>
      </x:c>
      <x:c t="inlineStr" r="U138"/>
      <x:c t="inlineStr" r="V138"/>
      <x:c t="inlineStr" r="W138"/>
      <x:c t="inlineStr" r="X138"/>
      <x:c t="inlineStr" r="Y138">
        <x:is>
          <x:t>Rede social</x:t>
        </x:is>
      </x:c>
      <x:c t="inlineStr" r="Z138">
        <x:is>
          <x:t>Português</x:t>
        </x:is>
      </x:c>
      <x:c t="inlineStr" r="AA138">
        <x:is>
          <x:t>Brasil</x:t>
        </x:is>
      </x:c>
      <x:c t="inlineStr" r="AB138">
        <x:is>
          <x:t>Rio de Janeiro</x:t>
        </x:is>
      </x:c>
      <x:c t="inlineStr" r="AC138"/>
      <x:c t="inlineStr" r="AD138"/>
      <x:c t="inlineStr" r="AE138"/>
      <x:c t="n" r="AF138">
        <x:v>0</x:v>
      </x:c>
      <x:c t="inlineStr" r="AG138"/>
      <x:c t="inlineStr" r="AH138"/>
      <x:c t="inlineStr" r="AI138"/>
      <x:c t="inlineStr" r="AJ138"/>
      <x:c t="inlineStr" r="AK138"/>
      <x:c t="inlineStr" r="AL138"/>
      <x:c t="inlineStr" r="AM138"/>
      <x:c t="inlineStr" r="AN138"/>
      <x:c t="inlineStr" r="AO138"/>
      <x:c t="inlineStr" r="AP138"/>
      <x:c t="inlineStr" r="AQ138"/>
      <x:c t="inlineStr" r="AR138"/>
      <x:c t="inlineStr" r="AS138"/>
      <x:c t="inlineStr" r="AT138"/>
      <x:c t="n" r="AU138">
        <x:v>15139</x:v>
      </x:c>
      <x:c t="inlineStr" r="AV138"/>
      <x:c t="inlineStr" r="AW138">
        <x:is>
          <x:t>Nike</x:t>
        </x:is>
      </x:c>
      <x:c t="inlineStr" r="AX138">
        <x:is>
          <x:t>text,poster</x:t>
        </x:is>
      </x:c>
      <x:c t="inlineStr" r="AY138">
        <x:is>
          <x:t/>
        </x:is>
      </x:c>
      <x:c t="inlineStr" r="AZ138">
        <x:is>
          <x:t/>
        </x:is>
      </x:c>
      <x:c t="inlineStr" r="BA138">
        <x:is>
          <x:t/>
        </x:is>
      </x:c>
      <x:c t="inlineStr" r="BB138">
        <x:is>
          <x:t>ILLUSTRATION</x:t>
        </x:is>
      </x:c>
      <x:c t="inlineStr" r="BC138">
        <x:is>
          <x:t>advertising</x:t>
        </x:is>
      </x:c>
      <x:c r="BD138">
        <x:f>HYPERLINK("https://pbs.twimg.com/media/HQBmAYHWQAAOE8H.jpg")</x:f>
      </x:c>
      <x:c t="inlineStr" r="BE138">
        <x:is>
          <x:t/>
        </x:is>
      </x:c>
      <x:c t="inlineStr" r="BF138">
        <x:is>
          <x:t>Não</x:t>
        </x:is>
      </x:c>
      <x:c t="inlineStr" r="BG138"/>
      <x:c t="inlineStr" r="BH138">
        <x:is>
          <x:t/>
        </x:is>
      </x:c>
      <x:c t="inlineStr" r="BI138">
        <x:is>
          <x:t>Giveaway</x:t>
        </x:is>
      </x:c>
      <x:c t="inlineStr" r="BJ138"/>
      <x:c t="inlineStr" r="BK138">
        <x:is>
          <x:t>Ipiranga - Contas Oficiais,Franquia - Jet Oil,Franquia - AmPm,Ipimax,Campanha: Parada Completa,Ipiranga,App KMV,Rock In Rio</x:t>
        </x:is>
      </x:c>
      <x:c t="inlineStr" r="BL138"/>
      <x:c t="inlineStr" r="BM138"/>
      <x:c t="inlineStr" r="BN138"/>
      <x:c t="inlineStr" r="BO138"/>
      <x:c t="inlineStr" r="BP138"/>
      <x:c t="inlineStr" r="BQ138">
        <x:is>
          <x:t>Ipiranga - Contas Oficiais</x:t>
        </x:is>
      </x:c>
      <x:c t="inlineStr" r="BR138"/>
      <x:c t="inlineStr" r="BS138"/>
      <x:c t="inlineStr" r="BT138"/>
      <x:c t="inlineStr" r="BU138"/>
      <x:c t="inlineStr" r="BV138">
        <x:is>
          <x:t>Franquia - AmPm</x:t>
        </x:is>
      </x:c>
      <x:c t="inlineStr" r="BW138">
        <x:is>
          <x:t>Ipimax</x:t>
        </x:is>
      </x:c>
      <x:c t="inlineStr" r="BX138">
        <x:is>
          <x:t>Franquia - Jet Oil</x:t>
        </x:is>
      </x:c>
      <x:c t="inlineStr" r="BY138">
        <x:is>
          <x:t>Campanha: Parada Completa</x:t>
        </x:is>
      </x:c>
      <x:c t="inlineStr" r="BZ138">
        <x:is>
          <x:t>Ipiranga</x:t>
        </x:is>
      </x:c>
      <x:c t="inlineStr" r="CA138"/>
      <x:c t="inlineStr" r="CB138"/>
      <x:c t="inlineStr" r="CC138"/>
      <x:c t="inlineStr" r="CD138">
        <x:is>
          <x:t>App KMV</x:t>
        </x:is>
      </x:c>
      <x:c t="inlineStr" r="CE138">
        <x:is>
          <x:t>Rock In Rio</x:t>
        </x:is>
      </x:c>
      <x:c t="inlineStr" r="CF138"/>
    </x:row>
    <x:row r="139">
      <x:c t="n" r="A139">
        <x:v>2701165552</x:v>
      </x:c>
      <x:c t="inlineStr" r="B139">
        <x:is>
          <x:t>20.08.2026</x:t>
        </x:is>
      </x:c>
      <x:c t="inlineStr" r="C139">
        <x:is>
          <x:t>12:13</x:t>
        </x:is>
      </x:c>
      <x:c t="inlineStr" r="D139">
        <x:is>
          <x:t>20.08.2026 12:43</x:t>
        </x:is>
      </x:c>
      <x:c t="inlineStr" r="E139">
        <x:is>
          <x:t/>
        </x:is>
      </x:c>
      <x:c t="inlineStr" r="F139">
        <x:is>
          <x:t>ROCK IN RIO 2026: QUANDO A CIDADE DO ROCK VIRA UMA EXPERIÊNCIA ALÉM DA MÚSICA! O Rock in Rio 2026 promete transformar a Cidade do Rock em um verdadeiro universo de música, entretenimento, tecnologia, gastronomia, moda, inovação e experiências de grandes marcas. Criado por Roberto Medina o festival nasceu no Rio de Janeiro, em 1985, e se tornou uma das maiores marcas de entretenimento do mundo, com edições que ultrapassaram as fronteiras brasileiras e chegaram a Lisboa, Madrid e Las Vegas. E em 2026, a dimensão dessa marca impressiona: Mais de 90 marcas Mais de 100 ativações 8 mil horas de experiências *Cerca de 1 milhão de brinde* Aproximadamente 400 produtos licenciados Ou seja: o Rock in Rio começa muito antes do primeiro acorde e continua muito depois do último show. AS GRANDES MARCAS NA CIDADE DO ROCK Coca-Cola, Heineken, Itaú, iFood, TIM, Natura, Google Gemini, C&amp;A, Ipiranga, Vale, Volkswagen, LATAM, CVC, Doritos, Prudential, Hellmann's, Nissin, Red Bull, 3 Corações, Chilli Beans, Gocase, Trident, Seara (Sim, vai ter churrasco no meio da festival) entre muitas outras, estarão presentes nesta edição. A Coca-Cola retorna com espaço próprio, atrações e DJs. A Heineken leva experiências como a tradicional Tirolesa Heineken, além de ações ligadas à campanha “Fãs têm mais amigos”. O Itaú transforma a Roda-Gigante em uma experiência de marca. O iFood assina a Montanha-Russa iFood e prepara ações especiais para quem acompanha os shows próximo à grade. A TIM chega com o Megadownload TIM e experiências conectadas à música. A Natura aposta em uma arquitetura inspirada na natureza e em materiais produzidos a partir de embalagens recicladas. Já C&amp;A e Ipiranga apostam em experiências fotográficas com Glambot, porque, no Rock in Rio, o público também quer sair com seu próprio registro de headliner! UMA CIDADE DO ROCK QUE TAMBÉM É PARQUE DE DIVERSÕES. Além dos shows, o público poderá aproveitar atrações como: Roda-Gigante Itaú Tirolesa Heineken Montanha-Russa iFood Megadownload TIM Superbet Discovery E tem novidade o ECCO by LightWire, um espetáculo inédito com patrocínio da Vale, será apresentado diariamente. A experiência da Vale começa antes mesmo da arena, com um túnel de LED interativo que reage à passagem do público. TECNOLOGIA E INTELIGÊNCIA ARTIFICIAL! O Google Gemini também chega ao Rock in Rio 2026 utilizando inteligência artificial para transportar os fãs por diferentes momentos da história do festival e transformar essa experiência em uma lembrança personalizada. A Trident terá um espaço voltado para registros e experiências musicais, enquanto a Lagunitas levará uma atmosfera inspirada em Santa Mônica, na Califórnia, com karaokê e participação do público. E o festival também recebe novas marcas: Tic Tac, AXIA Energia, Drogaria Venâncio, CRMBonus, Piracanjuba (Sim, vamos ter bebidas saudáveis, também), Philco e Gemini. A AXIA Energia, em parceria com o Rock in Rio, participa da proposta de descarbonização de 100% da jornada do fã. Já a Drogaria Venâncio será a primeira farmácia dentro da Cidade do Rock. ROCK IN RIO TAMBÉM ESTÁ NA MODA! A experiência não termina quando o público deixa o festival. São aproximadamente 400 produtos licenciados, um mais hypado que o outro, levando a identidade do Rock in Rio para diferentes categorias e para todo o país. A C&amp;A apresenta uma coleção inspirada na história do festival. A Chilli Beans aposta em uma coleção exclusiva ligada ao universo musical. A Key Design desenvolve acessórios com produção própria e acabamento artesanal. A Gocase transforma referências do Rio, da Cidade do Rock e da história do festival em cases, mochilas, bolsas e outros acessórios. E Pierim e Kouda também fazem parte desse universo de produtos oficiais. A EXPERIÊNCIA COMEÇA ANTES DE CHEGAR AO RIO! A Volkswagen apresenta o novo T-Cross Rock in Rio enquanto a LATAM terá uma aeronave especialmente adesivada com a identidade do festival!!! @Rock in Rio @KITKAT @Coca-Cola </x:t>
        </x:is>
      </x:c>
      <x:c t="inlineStr" r="G139">
        <x:is>
          <x:t/>
        </x:is>
      </x:c>
      <x:c t="inlineStr" r="H139"/>
      <x:c t="inlineStr" r="I139">
        <x:is>
          <x:t>Postar</x:t>
        </x:is>
      </x:c>
      <x:c t="inlineStr" r="J139">
        <x:is>
          <x:t>Vídeo,Texto</x:t>
        </x:is>
      </x:c>
      <x:c t="inlineStr" r="K139"/>
      <x:c r="L139">
        <x:f>HYPERLINK("https://www.tiktok.com/@take.the.view/video/7676132268586339605")</x:f>
      </x:c>
      <x:c t="inlineStr" r="M139">
        <x:is>
          <x:t>Negativo</x:t>
        </x:is>
      </x:c>
      <x:c t="inlineStr" r="N139">
        <x:is>
          <x:t>TAKE THE VIEW</x:t>
        </x:is>
      </x:c>
      <x:c t="inlineStr" r="O139">
        <x:is>
          <x:t>take.the.view</x:t>
        </x:is>
      </x:c>
      <x:c r="P139">
        <x:f>HYPERLINK("https://www.tiktok.com/share/user/7166998228016841733")</x:f>
      </x:c>
      <x:c t="n" r="Q139">
        <x:v>2559</x:v>
      </x:c>
      <x:c t="inlineStr" r="R139">
        <x:is>
          <x:t>Homem</x:t>
        </x:is>
      </x:c>
      <x:c t="inlineStr" r="S139"/>
      <x:c t="inlineStr" r="T139">
        <x:is>
          <x:t>tiktok.com</x:t>
        </x:is>
      </x:c>
      <x:c t="inlineStr" r="U139">
        <x:is>
          <x:t>TAKE THE VIEW</x:t>
        </x:is>
      </x:c>
      <x:c r="V139">
        <x:f>HYPERLINK("https://www.tiktok.com/share/user/7166998228016841733")</x:f>
      </x:c>
      <x:c t="n" r="W139">
        <x:v>2559</x:v>
      </x:c>
      <x:c t="inlineStr" r="X139"/>
      <x:c t="inlineStr" r="Y139">
        <x:is>
          <x:t>Rede social</x:t>
        </x:is>
      </x:c>
      <x:c t="inlineStr" r="Z139">
        <x:is>
          <x:t>Português</x:t>
        </x:is>
      </x:c>
      <x:c t="inlineStr" r="AA139">
        <x:is>
          <x:t>Brasil</x:t>
        </x:is>
      </x:c>
      <x:c t="inlineStr" r="AB139"/>
      <x:c t="inlineStr" r="AC139"/>
      <x:c t="inlineStr" r="AD139"/>
      <x:c t="n" r="AE139">
        <x:v>6</x:v>
      </x:c>
      <x:c t="n" r="AF139">
        <x:v>7</x:v>
      </x:c>
      <x:c t="n" r="AG139">
        <x:v>6</x:v>
      </x:c>
      <x:c t="inlineStr" r="AH139"/>
      <x:c t="inlineStr" r="AI139"/>
      <x:c t="inlineStr" r="AJ139"/>
      <x:c t="inlineStr" r="AK139"/>
      <x:c t="inlineStr" r="AL139"/>
      <x:c t="inlineStr" r="AM139"/>
      <x:c t="inlineStr" r="AN139"/>
      <x:c t="n" r="AO139">
        <x:v>1</x:v>
      </x:c>
      <x:c t="n" r="AP139">
        <x:v>0</x:v>
      </x:c>
      <x:c t="n" r="AQ139">
        <x:v>317</x:v>
      </x:c>
      <x:c t="inlineStr" r="AR139"/>
      <x:c t="inlineStr" r="AS139"/>
      <x:c t="n" r="AT139">
        <x:v>0</x:v>
      </x:c>
      <x:c t="n" r="AU139">
        <x:v>2559</x:v>
      </x:c>
      <x:c t="inlineStr" r="AV139"/>
      <x:c t="inlineStr" r="AW139">
        <x:is>
          <x:t/>
        </x:is>
      </x:c>
      <x:c t="inlineStr" r="AX139">
        <x:is>
          <x:t/>
        </x:is>
      </x:c>
      <x:c t="inlineStr" r="AY139">
        <x:is>
          <x:t/>
        </x:is>
      </x:c>
      <x:c t="inlineStr" r="AZ139">
        <x:is>
          <x:t/>
        </x:is>
      </x:c>
      <x:c t="inlineStr" r="BA139">
        <x:is>
          <x:t/>
        </x:is>
      </x:c>
      <x:c t="inlineStr" r="BB139">
        <x:is>
          <x:t>ILLUSTRATION</x:t>
        </x:is>
      </x:c>
      <x:c t="inlineStr" r="BC139"/>
      <x:c t="inlineStr" r="BD139">
        <x:is>
          <x:t>https://p16-common-sign.tiktokcdn-eu.com/tos-alisg-p-0037/oQUHRxQNqQU0EeB0GBhF0abEQbDAV2AVTgfPaa~tplv-tiktokx-origin.image?dr=10395&amp;x-expires=1787410800&amp;x-signature=WFyVJoTHTFV2vBz7qIESvH6EpJM%3D&amp;t=4d5b0474&amp;ps=13740610&amp;shp=81f88b70&amp;shcp=43f4a2f9&amp;idc=no1a</x:t>
        </x:is>
      </x:c>
      <x:c t="inlineStr" r="BE139">
        <x:is>
          <x:t/>
        </x:is>
      </x:c>
      <x:c t="inlineStr" r="BF139">
        <x:is>
          <x:t>Não</x:t>
        </x:is>
      </x:c>
      <x:c t="inlineStr" r="BG139"/>
      <x:c t="inlineStr" r="BH139">
        <x:is>
          <x:t/>
        </x:is>
      </x:c>
      <x:c t="inlineStr" r="BI139">
        <x:is>
          <x:t>Promoção</x:t>
        </x:is>
      </x:c>
      <x:c t="inlineStr" r="BJ139"/>
      <x:c t="inlineStr" r="BK139">
        <x:is>
          <x:t>Ipiranga,Rock In Rio</x:t>
        </x:is>
      </x:c>
      <x:c t="inlineStr" r="BL139"/>
      <x:c t="inlineStr" r="BM139"/>
      <x:c t="inlineStr" r="BN139"/>
      <x:c t="inlineStr" r="BO139"/>
      <x:c t="inlineStr" r="BP139"/>
      <x:c t="inlineStr" r="BQ139"/>
      <x:c t="inlineStr" r="BR139"/>
      <x:c t="inlineStr" r="BS139"/>
      <x:c t="inlineStr" r="BT139"/>
      <x:c t="inlineStr" r="BU139"/>
      <x:c t="inlineStr" r="BV139"/>
      <x:c t="inlineStr" r="BW139"/>
      <x:c t="inlineStr" r="BX139"/>
      <x:c t="inlineStr" r="BY139"/>
      <x:c t="inlineStr" r="BZ139">
        <x:is>
          <x:t>Ipiranga</x:t>
        </x:is>
      </x:c>
      <x:c t="inlineStr" r="CA139"/>
      <x:c t="inlineStr" r="CB139"/>
      <x:c t="inlineStr" r="CC139"/>
      <x:c t="inlineStr" r="CD139"/>
      <x:c t="inlineStr" r="CE139">
        <x:is>
          <x:t>Rock In Rio</x:t>
        </x:is>
      </x:c>
      <x:c t="inlineStr" r="CF139"/>
    </x:row>
    <x:row r="140">
      <x:c t="n" r="A140">
        <x:v>1720316244</x:v>
      </x:c>
      <x:c t="inlineStr" r="B140">
        <x:is>
          <x:t>20.08.2026</x:t>
        </x:is>
      </x:c>
      <x:c t="inlineStr" r="C140">
        <x:is>
          <x:t>10:55</x:t>
        </x:is>
      </x:c>
      <x:c t="inlineStr" r="D140">
        <x:is>
          <x:t>22.08.2026 19:20</x:t>
        </x:is>
      </x:c>
      <x:c t="inlineStr" r="E140">
        <x:is>
          <x:t/>
        </x:is>
      </x:c>
      <x:c t="str" r="F140">
        <x:v>No Rock in Rio, os shows dividem cada vez mais a atenção com outro espetáculo: a experiência criada pelas marcas dentro da Cidade do Rock.
A edição de 2026 reunirá mais de 90 marcas, entre patrocinadores, parceiros e empresas com operações no festival. Ao longo dos sete dias, estão previstas mais de 100 ativações, cerca de 8 mil horas de experiências e aproximadamente 1 milhão de brindes.
O movimento mostra como os grandes festivais se consolidaram como plataformas de marketing de experiência. Em vez de limitar a presença ao logotipo, empresas investem em atrações, ambientes instagramáveis, gastronomia, tecnologia, mobilidade e produção de conteúdo para participar diretamente da jornada do público.
Entre as experiências confirmadas estão atrações já conhecidas, como a roda-gigante do Itaú, a tirolesa da Heineken e a montanha-russa do iFood. Coca-Cola, KitKat, C&amp;A, Ipiranga, Natura, TIM e outras empresas também desenvolveram ações próprias para esta edição.
A tecnologia terá papel importante. O aplicativo oficial permitirá agendar determinadas atrações por geolocalização dentro do festival, enquanto o Gemini estreia com uma experiência de inteligência artificial capaz de transportar visitantes por diferentes edições do Rock in Rio e produzir imagens personalizadas.
A estratégia não termina nos portões do evento. Aproximadamente 400 produtos licenciados levarão a identidade do festival para roupas, acessórios, embalagens e outros pontos de venda. A Volkswagen terá uma edição especial do T-Cross ligada ao Rock in Rio, enquanto a LATAM levou a identidade visual do evento para uma de suas aeronaves.
Para as marcas, o objetivo é transformar exposição em memória. Em 2024, empresas investiram cerca de R$ 500 milhões em ativações e comunicação relacionadas ao festival, segundo dados divulgados pela própria organização.
O Rock in Rio mostra uma mudança importante na publicidade: não basta mais aparecer diante do consumidor. As marcas querem fazer parte da experiência que ele vai lembrar, registrar e compartilhar.
Fonte: EXAME / Rock World
#PortalÁapice #RockInRio #Marketing #ExperiênciaDeMarca #BrandExperience #Marcas #Publicidade #Eventos #Entretenimento #Posici</x:v>
      </x:c>
      <x:c t="inlineStr" r="G140">
        <x:is>
          <x:t/>
        </x:is>
      </x:c>
      <x:c t="inlineStr" r="H140"/>
      <x:c t="inlineStr" r="I140">
        <x:is>
          <x:t>Postar</x:t>
        </x:is>
      </x:c>
      <x:c t="inlineStr" r="J140">
        <x:is>
          <x:t>Texto,Imagem</x:t>
        </x:is>
      </x:c>
      <x:c t="inlineStr" r="K140"/>
      <x:c r="L140">
        <x:f>HYPERLINK("https://www.instagram.com/p/DcQ6z0BERxU/")</x:f>
      </x:c>
      <x:c t="inlineStr" r="M140">
        <x:is>
          <x:t>Negativo</x:t>
        </x:is>
      </x:c>
      <x:c t="inlineStr" r="N140">
        <x:is>
          <x:t>Portal Áapice</x:t>
        </x:is>
      </x:c>
      <x:c t="inlineStr" r="O140">
        <x:is>
          <x:t>portalaapice</x:t>
        </x:is>
      </x:c>
      <x:c r="P140">
        <x:f>HYPERLINK("http://instagram.com/portalaapice")</x:f>
      </x:c>
      <x:c t="n" r="Q140">
        <x:v>145</x:v>
      </x:c>
      <x:c t="inlineStr" r="R140"/>
      <x:c t="inlineStr" r="S140"/>
      <x:c t="inlineStr" r="T140">
        <x:is>
          <x:t>instagram.com</x:t>
        </x:is>
      </x:c>
      <x:c t="inlineStr" r="U140">
        <x:is>
          <x:t>Portal Áapice</x:t>
        </x:is>
      </x:c>
      <x:c r="V140">
        <x:f>HYPERLINK("http://instagram.com/portalaapice")</x:f>
      </x:c>
      <x:c t="n" r="W140">
        <x:v>145</x:v>
      </x:c>
      <x:c t="inlineStr" r="X140"/>
      <x:c t="inlineStr" r="Y140">
        <x:is>
          <x:t>Rede social</x:t>
        </x:is>
      </x:c>
      <x:c t="inlineStr" r="Z140">
        <x:is>
          <x:t>Português</x:t>
        </x:is>
      </x:c>
      <x:c t="inlineStr" r="AA140"/>
      <x:c t="inlineStr" r="AB140"/>
      <x:c t="inlineStr" r="AC140"/>
      <x:c t="inlineStr" r="AD140"/>
      <x:c t="n" r="AE140">
        <x:v>1</x:v>
      </x:c>
      <x:c t="n" r="AF140">
        <x:v>1</x:v>
      </x:c>
      <x:c t="n" r="AG140">
        <x:v>1</x:v>
      </x:c>
      <x:c t="inlineStr" r="AH140"/>
      <x:c t="inlineStr" r="AI140"/>
      <x:c t="inlineStr" r="AJ140"/>
      <x:c t="inlineStr" r="AK140"/>
      <x:c t="inlineStr" r="AL140"/>
      <x:c t="inlineStr" r="AM140"/>
      <x:c t="inlineStr" r="AN140"/>
      <x:c t="n" r="AO140">
        <x:v>0</x:v>
      </x:c>
      <x:c t="inlineStr" r="AP140"/>
      <x:c t="inlineStr" r="AQ140"/>
      <x:c t="inlineStr" r="AR140"/>
      <x:c t="inlineStr" r="AS140"/>
      <x:c t="inlineStr" r="AT140"/>
      <x:c t="n" r="AU140">
        <x:v>145</x:v>
      </x:c>
      <x:c t="inlineStr" r="AV140"/>
      <x:c t="inlineStr" r="AW140">
        <x:is>
          <x:t/>
        </x:is>
      </x:c>
      <x:c t="inlineStr" r="AX140">
        <x:is>
          <x:t>text,audience,sky,clothing</x:t>
        </x:is>
      </x:c>
      <x:c t="inlineStr" r="AY140">
        <x:is>
          <x:t>festival,outdoor</x:t>
        </x:is>
      </x:c>
      <x:c t="inlineStr" r="AZ140">
        <x:is>
          <x:t>man,woman</x:t>
        </x:is>
      </x:c>
      <x:c t="inlineStr" r="BA140">
        <x:is>
          <x:t>standing,cheering</x:t>
        </x:is>
      </x:c>
      <x:c t="inlineStr" r="BB140">
        <x:is>
          <x:t>ILLUSTRATION</x:t>
        </x:is>
      </x:c>
      <x:c t="inlineStr" r="BC140">
        <x:is>
          <x:t>photo caption</x:t>
        </x:is>
      </x:c>
      <x:c t="inlineStr" r="BD140">
        <x:is>
          <x:t>https://instagram.fbth8-1.fna.fbcdn.net/v/t51.82787-15/781425431_18138709303610317_5156367676673552177_n.jpg?stp=dst-jpg_e35_p1080x1080_sh2.08_tt6&amp;_nc_ht=instagram.fbth8-1.fna.fbcdn.net&amp;_nc_cat=101&amp;_nc_oc=Q6cZ2gGvZPm_fhb5pB6MUMmTO-CSC46H-mqdgF1jKA0gMnZgiixsYVgMBgHfkTmUZCk3Wsu4v949IVbDXKY5swFuQxGI&amp;_nc_ohc=OKIhuJJD2uwQ7kNvwGMlPoN&amp;_nc_gid=k9FO3mJrS1uVAzm8g1MeSg&amp;edm=AOQ1c0wBAAAA&amp;ccb=7-5&amp;oh=00_AQEjuXZ3zA76R_28Ok360RB7Rmx0DPlKgXnNqHExvGl6AQ&amp;oe=6A8FE4B6&amp;_nc_sid=8b3546</x:t>
        </x:is>
      </x:c>
      <x:c t="inlineStr" r="BE140">
        <x:is>
          <x:t/>
        </x:is>
      </x:c>
      <x:c t="inlineStr" r="BF140">
        <x:is>
          <x:t>Não</x:t>
        </x:is>
      </x:c>
      <x:c t="inlineStr" r="BG140"/>
      <x:c t="inlineStr" r="BH140">
        <x:is>
          <x:t/>
        </x:is>
      </x:c>
      <x:c t="inlineStr" r="BI140">
        <x:is>
          <x:t>Artigo</x:t>
        </x:is>
      </x:c>
      <x:c t="inlineStr" r="BJ140"/>
      <x:c t="inlineStr" r="BK140">
        <x:is>
          <x:t>Ipiranga,App KMV,Rock In Rio</x:t>
        </x:is>
      </x:c>
      <x:c t="inlineStr" r="BL140"/>
      <x:c t="inlineStr" r="BM140"/>
      <x:c t="inlineStr" r="BN140"/>
      <x:c t="inlineStr" r="BO140"/>
      <x:c t="inlineStr" r="BP140"/>
      <x:c t="inlineStr" r="BQ140"/>
      <x:c t="inlineStr" r="BR140"/>
      <x:c t="inlineStr" r="BS140"/>
      <x:c t="inlineStr" r="BT140"/>
      <x:c t="inlineStr" r="BU140"/>
      <x:c t="inlineStr" r="BV140"/>
      <x:c t="inlineStr" r="BW140"/>
      <x:c t="inlineStr" r="BX140"/>
      <x:c t="inlineStr" r="BY140"/>
      <x:c t="inlineStr" r="BZ140">
        <x:is>
          <x:t>Ipiranga</x:t>
        </x:is>
      </x:c>
      <x:c t="inlineStr" r="CA140"/>
      <x:c t="inlineStr" r="CB140"/>
      <x:c t="inlineStr" r="CC140"/>
      <x:c t="inlineStr" r="CD140">
        <x:is>
          <x:t>App KMV</x:t>
        </x:is>
      </x:c>
      <x:c t="inlineStr" r="CE140">
        <x:is>
          <x:t>Rock In Rio</x:t>
        </x:is>
      </x:c>
      <x:c t="inlineStr" r="CF140"/>
    </x:row>
    <x:row r="141">
      <x:c t="n" r="A141">
        <x:v>2048132279</x:v>
      </x:c>
      <x:c t="inlineStr" r="B141">
        <x:is>
          <x:t>20.08.2026</x:t>
        </x:is>
      </x:c>
      <x:c t="inlineStr" r="C141">
        <x:is>
          <x:t>10:21</x:t>
        </x:is>
      </x:c>
      <x:c t="inlineStr" r="D141">
        <x:is>
          <x:t>20.08.2026 11:57</x:t>
        </x:is>
      </x:c>
      <x:c t="inlineStr" r="E141">
        <x:is>
          <x:t/>
        </x:is>
      </x:c>
      <x:c t="str" r="F141">
        <x:v>Se você vai no rockinrio pelos brindes, esse vídeo é para você. Já encaminha para sua turma e se prepare, porque o festival deve distribuir mais de UM MILHÃO de brindes através das patrocinadoras.
Tenho meus favoritos e falo no vídeo. Só espero ser notado pelo itau e oficialpiracanjuba.
#rockinrio #festivaisnobrasil #festivais #rockinrio2026 #brindes</x:v>
      </x:c>
      <x:c t="inlineStr" r="G141">
        <x:is>
          <x:t/>
        </x:is>
      </x:c>
      <x:c t="inlineStr" r="H141"/>
      <x:c t="inlineStr" r="I141">
        <x:is>
          <x:t>Postar</x:t>
        </x:is>
      </x:c>
      <x:c t="inlineStr" r="J141">
        <x:is>
          <x:t>Texto,Vídeo</x:t>
        </x:is>
      </x:c>
      <x:c t="inlineStr" r="K141">
        <x:is>
          <x:t>InstagramReels</x:t>
        </x:is>
      </x:c>
      <x:c r="L141">
        <x:f>HYPERLINK("https://www.instagram.com/reel/DcQ2U4uAc1f/")</x:f>
      </x:c>
      <x:c t="inlineStr" r="M141">
        <x:is>
          <x:t>Negativo</x:t>
        </x:is>
      </x:c>
      <x:c t="inlineStr" r="N141">
        <x:is>
          <x:t>David Varelo</x:t>
        </x:is>
      </x:c>
      <x:c t="inlineStr" r="O141">
        <x:is>
          <x:t>davidvarelo</x:t>
        </x:is>
      </x:c>
      <x:c r="P141">
        <x:f>HYPERLINK("https://www.instagram.com/davidvarelo/")</x:f>
      </x:c>
      <x:c t="n" r="Q141">
        <x:v>3169</x:v>
      </x:c>
      <x:c t="inlineStr" r="R141">
        <x:is>
          <x:t>Homem</x:t>
        </x:is>
      </x:c>
      <x:c t="inlineStr" r="S141"/>
      <x:c t="inlineStr" r="T141">
        <x:is>
          <x:t>instagram.com</x:t>
        </x:is>
      </x:c>
      <x:c t="inlineStr" r="U141">
        <x:is>
          <x:t>David Varelo</x:t>
        </x:is>
      </x:c>
      <x:c r="V141">
        <x:f>HYPERLINK("https://www.instagram.com/davidvarelo/")</x:f>
      </x:c>
      <x:c t="n" r="W141">
        <x:v>3169</x:v>
      </x:c>
      <x:c t="inlineStr" r="X141"/>
      <x:c t="inlineStr" r="Y141">
        <x:is>
          <x:t>Rede social</x:t>
        </x:is>
      </x:c>
      <x:c t="inlineStr" r="Z141">
        <x:is>
          <x:t>Português</x:t>
        </x:is>
      </x:c>
      <x:c t="inlineStr" r="AA141"/>
      <x:c t="inlineStr" r="AB141"/>
      <x:c t="inlineStr" r="AC141"/>
      <x:c t="inlineStr" r="AD141"/>
      <x:c t="n" r="AE141">
        <x:v>20</x:v>
      </x:c>
      <x:c t="n" r="AF141">
        <x:v>22</x:v>
      </x:c>
      <x:c t="n" r="AG141">
        <x:v>20</x:v>
      </x:c>
      <x:c t="inlineStr" r="AH141"/>
      <x:c t="inlineStr" r="AI141"/>
      <x:c t="inlineStr" r="AJ141"/>
      <x:c t="inlineStr" r="AK141"/>
      <x:c t="inlineStr" r="AL141"/>
      <x:c t="inlineStr" r="AM141"/>
      <x:c t="inlineStr" r="AN141"/>
      <x:c t="n" r="AO141">
        <x:v>2</x:v>
      </x:c>
      <x:c t="inlineStr" r="AP141"/>
      <x:c t="inlineStr" r="AQ141"/>
      <x:c t="inlineStr" r="AR141"/>
      <x:c t="inlineStr" r="AS141"/>
      <x:c t="inlineStr" r="AT141"/>
      <x:c t="n" r="AU141">
        <x:v>3169</x:v>
      </x:c>
      <x:c t="inlineStr" r="AV141"/>
      <x:c t="inlineStr" r="AW141">
        <x:is>
          <x:t/>
        </x:is>
      </x:c>
      <x:c t="inlineStr" r="AX141">
        <x:is>
          <x:t>text,facial hair,clothing,black hair,skin,moustache</x:t>
        </x:is>
      </x:c>
      <x:c t="inlineStr" r="AY141">
        <x:is>
          <x:t/>
        </x:is>
      </x:c>
      <x:c t="inlineStr" r="AZ141">
        <x:is>
          <x:t>man</x:t>
        </x:is>
      </x:c>
      <x:c t="inlineStr" r="BA141">
        <x:is>
          <x:t/>
        </x:is>
      </x:c>
      <x:c t="inlineStr" r="BB141">
        <x:is>
          <x:t>ILLUSTRATION</x:t>
        </x:is>
      </x:c>
      <x:c t="inlineStr" r="BC141">
        <x:is>
          <x:t>photo caption</x:t>
        </x:is>
      </x:c>
      <x:c t="inlineStr" r="BD141">
        <x:is>
          <x:t>https://scontent-ams2-1.cdninstagram.com/v/t51.82787-15/779931810_18620394376060857_4428447446811023667_n.jpg?stp=dst-jpg_e35_tt6&amp;_nc_cat=109&amp;ccb=7-5&amp;_nc_sid=18de74&amp;efg=eyJlZmdfdGFnIjoiQ0xJUFMuYmVzdF9pbWFnZV91cmxnZW4uQzMifQ%3D%3D&amp;_nc_ohc=aBL4MHU8Ik4Q7kNvwFqVEjv&amp;_nc_oc=AdpRF4XYQ2jKLYUNgKJjKR3GhENL2M391t70eVSG_VENpZDWfveAcekGY0a4LjNXx2g&amp;_nc_zt=23&amp;_nc_ht=scontent-ams2-1.cdninstagram.com&amp;edm=AJ7ooaQEAAAA&amp;_nc_gid=LFNhDlYYV0k67MZWewidhw&amp;_nc_tpa=Q5bMBQLA-BCfes8AsR68lR5psCS-MdR9RYs6r5fmKgq8YEKLPeyB3e57cjsnyUKTkz00RC5HA8wNw1huqg&amp;oh=00_AQF2VcKJ6YnU1NhrjvRl0aPrjwfb4Qtelc0uTnleXT3OkA&amp;oe=6A8CE8B7</x:t>
        </x:is>
      </x:c>
      <x:c t="inlineStr" r="BE141">
        <x:is>
          <x:t/>
        </x:is>
      </x:c>
      <x:c t="inlineStr" r="BF141">
        <x:is>
          <x:t>Não</x:t>
        </x:is>
      </x:c>
      <x:c t="inlineStr" r="BG141"/>
      <x:c t="inlineStr" r="BH141">
        <x:is>
          <x:t>Acontecimento</x:t>
        </x:is>
      </x:c>
      <x:c t="inlineStr" r="BI141">
        <x:is>
          <x:t>WOM</x:t>
        </x:is>
      </x:c>
      <x:c t="inlineStr" r="BJ141"/>
      <x:c t="inlineStr" r="BK141">
        <x:is>
          <x:t>Rock In Rio</x:t>
        </x:is>
      </x:c>
      <x:c t="inlineStr" r="BL141"/>
      <x:c t="inlineStr" r="BM141"/>
      <x:c t="inlineStr" r="BN141"/>
      <x:c t="inlineStr" r="BO141"/>
      <x:c t="inlineStr" r="BP141"/>
      <x:c t="inlineStr" r="BQ141"/>
      <x:c t="inlineStr" r="BR141"/>
      <x:c t="inlineStr" r="BS141"/>
      <x:c t="inlineStr" r="BT141"/>
      <x:c t="inlineStr" r="BU141"/>
      <x:c t="inlineStr" r="BV141"/>
      <x:c t="inlineStr" r="BW141"/>
      <x:c t="inlineStr" r="BX141"/>
      <x:c t="inlineStr" r="BY141"/>
      <x:c t="inlineStr" r="BZ141"/>
      <x:c t="inlineStr" r="CA141"/>
      <x:c t="inlineStr" r="CB141"/>
      <x:c t="inlineStr" r="CC141"/>
      <x:c t="inlineStr" r="CD141"/>
      <x:c t="inlineStr" r="CE141">
        <x:is>
          <x:t>Rock In Rio</x:t>
        </x:is>
      </x:c>
      <x:c t="inlineStr" r="CF141"/>
    </x:row>
    <x:row r="142">
      <x:c t="n" r="A142">
        <x:v>4261308851</x:v>
      </x:c>
      <x:c t="inlineStr" r="B142">
        <x:is>
          <x:t>19.08.2026</x:t>
        </x:is>
      </x:c>
      <x:c t="inlineStr" r="C142">
        <x:is>
          <x:t>20:37</x:t>
        </x:is>
      </x:c>
      <x:c t="inlineStr" r="D142">
        <x:is>
          <x:t>20.08.2026 03:50</x:t>
        </x:is>
      </x:c>
      <x:c t="inlineStr" r="E142">
        <x:is>
          <x:t/>
        </x:is>
      </x:c>
      <x:c t="str" r="F142">
        <x:v>Se tem algo tão disputado quanto os shows no Rock in Rio (Rock in Rio) são os brindes que as marcas distribuem na Cidade do Rock. Faltando pouco mais de 15 dias para a abertura dos portões, confira alguns mimos que prometem ser disputados.
A Venancio (Drogaria Venancio) estreia no festival apostando na fofura com pelúcias colecionáveis. Já a Natura (Natura) vem com a clássica pochete laranja, mas em uma versão mais moderna.
O Itaú (Itaú) traz os copos que já são considerados clássicos no evento e um porta-óculos estiloso. A (TIM) terá cordinhas e ventosa para celular, pulseiras de silicone e shoulder bag. 
O iFood (iFood Brasil) fará a plateia brilhar com broches com luz e registrar tudo na minicâmera. A Ipiranga (Ipiranga) entregará praticidade com pochete e leque. A Vale (Vale no Brasil) convidou artistas para assinarem clutches exclusivas. 
A movida (Movida Aluguel de Carros) terá muita variedade, de fone de ouvido e carregador com três conectores a bolsa e pulseira de LED. A Axia Energia (AXIA Energia) presenteará o público com ringlight, minicâmera e jaqueta corta-vento.
Quem participar da ativação da Trident (Trident) poderá ganhar shoulder bag ou leque. Por fim, a C&amp;A (C&amp;A Brasil) terá, além da disputada jaqueta, minicâmera, pins, leque e bolsa.
Leia mais pelo link da bio Veja Rio
📸: Divulgação
Assine Veja a partir de R$9,90 por mês. Acesse veja.abril.com.br/ofertas</x:v>
      </x:c>
      <x:c t="inlineStr" r="G142">
        <x:is>
          <x:t/>
        </x:is>
      </x:c>
      <x:c t="inlineStr" r="H142"/>
      <x:c t="inlineStr" r="I142">
        <x:is>
          <x:t>Postar</x:t>
        </x:is>
      </x:c>
      <x:c t="inlineStr" r="J142">
        <x:is>
          <x:t>Texto,Álbum,Imagem</x:t>
        </x:is>
      </x:c>
      <x:c t="inlineStr" r="K142"/>
      <x:c r="L142">
        <x:f>HYPERLINK("https://www.facebook.com/1523552526472784")</x:f>
      </x:c>
      <x:c t="inlineStr" r="M142">
        <x:is>
          <x:t>Negativo</x:t>
        </x:is>
      </x:c>
      <x:c t="inlineStr" r="N142">
        <x:is>
          <x:t>Veja Rio</x:t>
        </x:is>
      </x:c>
      <x:c t="inlineStr" r="O142"/>
      <x:c r="P142">
        <x:f>HYPERLINK("https://www.facebook.com/191032704071")</x:f>
      </x:c>
      <x:c t="n" r="Q142">
        <x:v>276414</x:v>
      </x:c>
      <x:c t="inlineStr" r="R142">
        <x:is>
          <x:t>Comunidade</x:t>
        </x:is>
      </x:c>
      <x:c t="inlineStr" r="S142"/>
      <x:c t="inlineStr" r="T142">
        <x:is>
          <x:t>facebook.com</x:t>
        </x:is>
      </x:c>
      <x:c t="inlineStr" r="U142">
        <x:is>
          <x:t>Veja Rio</x:t>
        </x:is>
      </x:c>
      <x:c r="V142">
        <x:f>HYPERLINK("https://www.facebook.com/191032704071")</x:f>
      </x:c>
      <x:c t="n" r="W142">
        <x:v>276414</x:v>
      </x:c>
      <x:c t="inlineStr" r="X142"/>
      <x:c t="inlineStr" r="Y142">
        <x:is>
          <x:t>Rede social</x:t>
        </x:is>
      </x:c>
      <x:c t="inlineStr" r="Z142">
        <x:is>
          <x:t>Português</x:t>
        </x:is>
      </x:c>
      <x:c t="inlineStr" r="AA142">
        <x:is>
          <x:t>Brasil</x:t>
        </x:is>
      </x:c>
      <x:c t="inlineStr" r="AB142"/>
      <x:c t="inlineStr" r="AC142"/>
      <x:c t="inlineStr" r="AD142"/>
      <x:c t="n" r="AE142">
        <x:v>5</x:v>
      </x:c>
      <x:c t="n" r="AF142">
        <x:v>16</x:v>
      </x:c>
      <x:c t="n" r="AG142">
        <x:v>5</x:v>
      </x:c>
      <x:c t="inlineStr" r="AH142"/>
      <x:c t="inlineStr" r="AI142"/>
      <x:c t="inlineStr" r="AJ142"/>
      <x:c t="inlineStr" r="AK142"/>
      <x:c t="inlineStr" r="AL142"/>
      <x:c t="inlineStr" r="AM142"/>
      <x:c t="inlineStr" r="AN142"/>
      <x:c t="n" r="AO142">
        <x:v>0</x:v>
      </x:c>
      <x:c t="n" r="AP142">
        <x:v>11</x:v>
      </x:c>
      <x:c t="inlineStr" r="AQ142"/>
      <x:c t="inlineStr" r="AR142"/>
      <x:c t="inlineStr" r="AS142"/>
      <x:c t="inlineStr" r="AT142"/>
      <x:c t="n" r="AU142">
        <x:v>276414</x:v>
      </x:c>
      <x:c t="inlineStr" r="AV142"/>
      <x:c t="inlineStr" r="AW142">
        <x:is>
          <x:t/>
        </x:is>
      </x:c>
      <x:c t="inlineStr" r="AX142">
        <x:is>
          <x:t>hairstyle,text,jewellery,long hair,skin,clothing,finger,sky,tooth,necklace,tattoo,hair coloring</x:t>
        </x:is>
      </x:c>
      <x:c t="inlineStr" r="AY142">
        <x:is>
          <x:t>outdoor</x:t>
        </x:is>
      </x:c>
      <x:c t="inlineStr" r="AZ142">
        <x:is>
          <x:t>woman</x:t>
        </x:is>
      </x:c>
      <x:c t="inlineStr" r="BA142">
        <x:is>
          <x:t>smile</x:t>
        </x:is>
      </x:c>
      <x:c t="inlineStr" r="BB142">
        <x:is>
          <x:t>ILLUSTRATION</x:t>
        </x:is>
      </x:c>
      <x:c t="inlineStr" r="BC142">
        <x:is>
          <x:t>photo caption</x:t>
        </x:is>
      </x:c>
      <x:c t="inlineStr" r="BD142">
        <x:is>
          <x:t>https://scontent.fhyd10-2.fna.fbcdn.net/v/t51.82787-15/780374885_18614415991052824_2821001343244891758_n.jpg?stp=dst-jpg_tt6&amp;cstp=mx1080x1350&amp;ctp=s1080x1350&amp;_nc_cat=111&amp;ccb=1-7&amp;_nc_sid=127cfc&amp;_nc_ohc=NkaOxUnnRyUQ7kNvwE__rEA&amp;_nc_oc=AdpIPubAj6SPpie-sS34YY8aKkqeIeM91EI7MbAyo2JNZQVaE4mly0a_uWCOVNo55Yw&amp;_nc_zt=23&amp;_nc_ht=scontent.fhyd10-2.fna&amp;_nc_gid=FOscLAZsZ1041eR4e0IKgA&amp;_nc_ss=70100&amp;oh=00_AQEZczfw6DWq2VfbMufvHnL37HOpF49tnr6BIeolaAtK-w&amp;oe=6A8C85FC</x:t>
        </x:is>
      </x:c>
      <x:c t="inlineStr" r="BE142">
        <x:is>
          <x:t/>
        </x:is>
      </x:c>
      <x:c t="inlineStr" r="BF142">
        <x:is>
          <x:t>Não</x:t>
        </x:is>
      </x:c>
      <x:c t="inlineStr" r="BG142"/>
      <x:c t="inlineStr" r="BH142">
        <x:is>
          <x:t/>
        </x:is>
      </x:c>
      <x:c t="inlineStr" r="BI142">
        <x:is>
          <x:t>Promoção</x:t>
        </x:is>
      </x:c>
      <x:c t="inlineStr" r="BJ142"/>
      <x:c t="inlineStr" r="BK142">
        <x:is>
          <x:t>Ipiranga,Rock In Rio</x:t>
        </x:is>
      </x:c>
      <x:c t="inlineStr" r="BL142"/>
      <x:c t="inlineStr" r="BM142"/>
      <x:c t="inlineStr" r="BN142"/>
      <x:c t="inlineStr" r="BO142"/>
      <x:c t="inlineStr" r="BP142"/>
      <x:c t="inlineStr" r="BQ142"/>
      <x:c t="inlineStr" r="BR142"/>
      <x:c t="inlineStr" r="BS142"/>
      <x:c t="inlineStr" r="BT142"/>
      <x:c t="inlineStr" r="BU142"/>
      <x:c t="inlineStr" r="BV142"/>
      <x:c t="inlineStr" r="BW142"/>
      <x:c t="inlineStr" r="BX142"/>
      <x:c t="inlineStr" r="BY142"/>
      <x:c t="inlineStr" r="BZ142">
        <x:is>
          <x:t>Ipiranga</x:t>
        </x:is>
      </x:c>
      <x:c t="inlineStr" r="CA142"/>
      <x:c t="inlineStr" r="CB142"/>
      <x:c t="inlineStr" r="CC142"/>
      <x:c t="inlineStr" r="CD142"/>
      <x:c t="inlineStr" r="CE142">
        <x:is>
          <x:t>Rock In Rio</x:t>
        </x:is>
      </x:c>
      <x:c t="inlineStr" r="CF142"/>
    </x:row>
    <x:row r="143">
      <x:c t="n" r="A143">
        <x:v>4287002698</x:v>
      </x:c>
      <x:c t="inlineStr" r="B143">
        <x:is>
          <x:t>19.08.2026</x:t>
        </x:is>
      </x:c>
      <x:c t="inlineStr" r="C143">
        <x:is>
          <x:t>20:37</x:t>
        </x:is>
      </x:c>
      <x:c t="inlineStr" r="D143">
        <x:is>
          <x:t>19.08.2026 22:29</x:t>
        </x:is>
      </x:c>
      <x:c t="inlineStr" r="E143">
        <x:is>
          <x:t/>
        </x:is>
      </x:c>
      <x:c t="str" r="F143">
        <x:v>Se tem algo tão disputado quanto os shows no Rock in Rio (rockinrio) são os brindes que as marcas distribuem na Cidade do Rock. Faltando pouco mais de 15 dias para a abertura dos portões, confira alguns mimos que prometem ser disputados.
A Venancio (drogariavenancio) estreia no festival apostando na fofura com pelúcias colecionáveis. Já a Natura (naturabroficial) vem com a clássica pochete laranja, mas em uma versão mais moderna.
O Itaú (itau) traz os copos que já são considerados clássicos no evento e um porta-óculos estiloso. A (timbrasil) terá cordinhas e ventosa para celular, pulseiras de silicone e shoulder bag. 
O iFood (ifoodbrasil) fará a plateia brilhar com broches com luz e registrar tudo na minicâmera. A Ipiranga (ipiranga) entregará praticidade com pochete e leque. A Vale (valenobrasil) convidou artistas para assinarem clutches exclusivas. 
A movida (movidaalugueldecarros) terá muita variedade, de fone de ouvido e carregador com três conectores a bolsa e pulseira de LED. A Axia Energia (axiaenergia) presenteará o público com ringlight, minicâmera e jaqueta corta-vento.
Quem participar da ativação da Trident (trident_brasil) poderá ganhar shoulder bag ou leque. Por fim, a C&amp;A (cea_brasil) terá, além da disputada jaqueta, minicâmera, pins, leque e bolsa.
Leia mais pelo link da bio vejario
📸: Divulgação
Assine Veja a partir de R$9,90 por mês. Acesse veja.abril.com.br/ofertas</x:v>
      </x:c>
      <x:c t="inlineStr" r="G143">
        <x:is>
          <x:t/>
        </x:is>
      </x:c>
      <x:c t="inlineStr" r="H143"/>
      <x:c t="inlineStr" r="I143">
        <x:is>
          <x:t>Postar</x:t>
        </x:is>
      </x:c>
      <x:c t="inlineStr" r="J143">
        <x:is>
          <x:t>Texto,Álbum,Imagem</x:t>
        </x:is>
      </x:c>
      <x:c t="inlineStr" r="K143"/>
      <x:c r="L143">
        <x:f>HYPERLINK("https://www.instagram.com/p/DcPYkLmjSIe/")</x:f>
      </x:c>
      <x:c t="inlineStr" r="M143">
        <x:is>
          <x:t>Negativo</x:t>
        </x:is>
      </x:c>
      <x:c t="inlineStr" r="N143">
        <x:is>
          <x:t>Veja Rio</x:t>
        </x:is>
      </x:c>
      <x:c t="inlineStr" r="O143">
        <x:is>
          <x:t>vejario</x:t>
        </x:is>
      </x:c>
      <x:c r="P143">
        <x:f>HYPERLINK("https://www.instagram.com/vejario/")</x:f>
      </x:c>
      <x:c t="n" r="Q143">
        <x:v>351584</x:v>
      </x:c>
      <x:c t="inlineStr" r="R143"/>
      <x:c t="inlineStr" r="S143"/>
      <x:c t="inlineStr" r="T143">
        <x:is>
          <x:t>instagram.com</x:t>
        </x:is>
      </x:c>
      <x:c t="inlineStr" r="U143">
        <x:is>
          <x:t>Veja Rio</x:t>
        </x:is>
      </x:c>
      <x:c r="V143">
        <x:f>HYPERLINK("https://www.instagram.com/vejario/")</x:f>
      </x:c>
      <x:c t="n" r="W143">
        <x:v>351584</x:v>
      </x:c>
      <x:c t="inlineStr" r="X143"/>
      <x:c t="inlineStr" r="Y143">
        <x:is>
          <x:t>Rede social</x:t>
        </x:is>
      </x:c>
      <x:c t="inlineStr" r="Z143">
        <x:is>
          <x:t>Português</x:t>
        </x:is>
      </x:c>
      <x:c t="inlineStr" r="AA143"/>
      <x:c t="inlineStr" r="AB143"/>
      <x:c t="inlineStr" r="AC143"/>
      <x:c t="inlineStr" r="AD143"/>
      <x:c t="n" r="AE143">
        <x:v>17483</x:v>
      </x:c>
      <x:c t="n" r="AF143">
        <x:v>38126</x:v>
      </x:c>
      <x:c t="n" r="AG143">
        <x:v>17483</x:v>
      </x:c>
      <x:c t="inlineStr" r="AH143"/>
      <x:c t="inlineStr" r="AI143"/>
      <x:c t="inlineStr" r="AJ143"/>
      <x:c t="inlineStr" r="AK143"/>
      <x:c t="inlineStr" r="AL143"/>
      <x:c t="inlineStr" r="AM143"/>
      <x:c t="inlineStr" r="AN143"/>
      <x:c t="n" r="AO143">
        <x:v>397</x:v>
      </x:c>
      <x:c t="n" r="AP143">
        <x:v>20246</x:v>
      </x:c>
      <x:c t="inlineStr" r="AQ143"/>
      <x:c t="inlineStr" r="AR143"/>
      <x:c t="inlineStr" r="AS143"/>
      <x:c t="inlineStr" r="AT143"/>
      <x:c t="n" r="AU143">
        <x:v>351584</x:v>
      </x:c>
      <x:c t="inlineStr" r="AV143"/>
      <x:c t="inlineStr" r="AW143">
        <x:is>
          <x:t/>
        </x:is>
      </x:c>
      <x:c t="inlineStr" r="AX143">
        <x:is>
          <x:t>hairstyle,text,jewellery,long hair,skin,clothing,finger,sky,tooth,necklace,tattoo,hair coloring</x:t>
        </x:is>
      </x:c>
      <x:c t="inlineStr" r="AY143">
        <x:is>
          <x:t>outdoor</x:t>
        </x:is>
      </x:c>
      <x:c t="inlineStr" r="AZ143">
        <x:is>
          <x:t>woman</x:t>
        </x:is>
      </x:c>
      <x:c t="inlineStr" r="BA143">
        <x:is>
          <x:t>smile</x:t>
        </x:is>
      </x:c>
      <x:c t="inlineStr" r="BB143">
        <x:is>
          <x:t>ILLUSTRATION</x:t>
        </x:is>
      </x:c>
      <x:c t="inlineStr" r="BC143">
        <x:is>
          <x:t>photo caption</x:t>
        </x:is>
      </x:c>
      <x:c t="inlineStr" r="BD143">
        <x:is>
          <x:t>https://scontent-lhr11-1.cdninstagram.com/v/t51.82787-15/780374885_18614415991052824_2821001343244891758_n.jpg?stp=dst-jpg_e35_tt6&amp;_nc_cat=111&amp;ccb=7-5&amp;_nc_sid=18de74&amp;efg=eyJlZmdfdGFnIjoiQ0FST1VTRUxfSVRFTS5iZXN0X2ltYWdlX3VybGdlbi5DMyJ9&amp;_nc_ohc=NkaOxUnnRyUQ7kNvwHt4JAd&amp;_nc_oc=AdrtX5FJ5YWbYViRDzWE40iM0vI8HEhoU8h4uBfVh-PsskGN70UpEJ3bLIxuohhbtzo&amp;_nc_zt=23&amp;_nc_ht=scontent-lhr11-1.cdninstagram.com&amp;edm=AJ7ooaQEAAAA&amp;_nc_gid=UdXIUtQWH4cn8ilxxlQPMg&amp;oh=00_AQHpj1rpTEuRNIFESNOwU5w0-1S0o-27XvrNzu6cWEQ3ZQ&amp;oe=6A8C157C</x:t>
        </x:is>
      </x:c>
      <x:c t="inlineStr" r="BE143">
        <x:is>
          <x:t/>
        </x:is>
      </x:c>
      <x:c t="inlineStr" r="BF143">
        <x:is>
          <x:t>Não</x:t>
        </x:is>
      </x:c>
      <x:c t="inlineStr" r="BG143"/>
      <x:c t="inlineStr" r="BH143">
        <x:is>
          <x:t>Acontecimento</x:t>
        </x:is>
      </x:c>
      <x:c t="inlineStr" r="BI143">
        <x:is>
          <x:t>Artigo,Promoção</x:t>
        </x:is>
      </x:c>
      <x:c t="inlineStr" r="BJ143">
        <x:is>
          <x:t>Se tem algo tão disputado quanto os shows no Rock in Rio (rockinrio) são os brindes que as marcas distribuem na Cidade do Rock</x:t>
        </x:is>
      </x:c>
      <x:c t="inlineStr" r="BK143">
        <x:is>
          <x:t>Ipiranga,Rock In Rio</x:t>
        </x:is>
      </x:c>
      <x:c t="inlineStr" r="BL143"/>
      <x:c t="inlineStr" r="BM143"/>
      <x:c t="inlineStr" r="BN143"/>
      <x:c t="inlineStr" r="BO143"/>
      <x:c t="inlineStr" r="BP143"/>
      <x:c t="inlineStr" r="BQ143"/>
      <x:c t="inlineStr" r="BR143"/>
      <x:c t="inlineStr" r="BS143"/>
      <x:c t="inlineStr" r="BT143"/>
      <x:c t="inlineStr" r="BU143"/>
      <x:c t="inlineStr" r="BV143"/>
      <x:c t="inlineStr" r="BW143"/>
      <x:c t="inlineStr" r="BX143"/>
      <x:c t="inlineStr" r="BY143"/>
      <x:c t="inlineStr" r="BZ143">
        <x:is>
          <x:t>Ipiranga</x:t>
        </x:is>
      </x:c>
      <x:c t="inlineStr" r="CA143"/>
      <x:c t="inlineStr" r="CB143"/>
      <x:c t="inlineStr" r="CC143"/>
      <x:c t="inlineStr" r="CD143"/>
      <x:c t="inlineStr" r="CE143">
        <x:is>
          <x:t>Rock In Rio</x:t>
        </x:is>
      </x:c>
      <x:c t="inlineStr" r="CF143"/>
    </x:row>
    <x:row r="144">
      <x:c t="n" r="A144">
        <x:v>16385388</x:v>
      </x:c>
      <x:c t="inlineStr" r="B144">
        <x:is>
          <x:t>19.08.2026</x:t>
        </x:is>
      </x:c>
      <x:c t="inlineStr" r="C144">
        <x:is>
          <x:t>17:12</x:t>
        </x:is>
      </x:c>
      <x:c t="inlineStr" r="D144">
        <x:is>
          <x:t>19.08.2026 17:41</x:t>
        </x:is>
      </x:c>
      <x:c t="inlineStr" r="E144">
        <x:is>
          <x:t/>
        </x:is>
      </x:c>
      <x:c t="str" r="F144">
        <x:v>Ontem foi dia de apresentar o tamanho do ecossistema que existe por trás do Rock in Rio, que a cada ano trás novidades para o publico dentro e fora da Cidade do Rock. Na coletiva, conduzida por algumas das mulheres incríveis que fazem parte do ecossistema de quem faz,  Ana Deccache e Renata Guaraná apresentaram alguns dos espaços e experiências que as marcas estão preparando para a próxima edição, além de brindes e produtos licenciados que ajudam a levar o festival muito além da Cidade do Rock.
Ainda teve muito spoiler do que as marcas Itaú Unibanco, Volkswagen do Brasil, Seara, iFood, C&amp;A, Ipiranga, Prudential do Brasil, TIM Brasil, Nestlé, The Coca-Cola Company, Movida Aluguel de Carros, Mondelēz International estarão aprontando durante os dias de evento. E eu tive a oportunidade de apresentar o que algumas das marcas fazem fora da Cidade do Rock , onde a marca do Rock in Rio também ganha vida com mais de 400 produtos licenciados que variam desde garrafas térmicas, capa de malas, chiclete, óculos, e souvenirs diversos. Com isso todo mundo pode ter um pedacinho do Rock :) !
Muito legal ver tantas empresas diferentes construindo essa história juntas e muito orgulho da Angra Marcas estar junto nesta jornada. 
#RockinRio #Patrocínio #BrandExperience #LiveMarketing #Entretenimento #Marcas #Licenciamento</x:v>
      </x:c>
      <x:c t="inlineStr" r="G144">
        <x:is>
          <x:t/>
        </x:is>
      </x:c>
      <x:c t="inlineStr" r="H144"/>
      <x:c t="inlineStr" r="I144">
        <x:is>
          <x:t>Postar</x:t>
        </x:is>
      </x:c>
      <x:c t="inlineStr" r="J144">
        <x:is>
          <x:t>Texto,Álbum,Imagem</x:t>
        </x:is>
      </x:c>
      <x:c t="inlineStr" r="K144"/>
      <x:c r="L144">
        <x:f>HYPERLINK("https://www.linkedin.com/feed/update/urn:li:ugcPost:7495935680716546048")</x:f>
      </x:c>
      <x:c t="inlineStr" r="M144">
        <x:is>
          <x:t>Negativo</x:t>
        </x:is>
      </x:c>
      <x:c t="inlineStr" r="N144"/>
      <x:c t="inlineStr" r="O144"/>
      <x:c t="inlineStr" r="P144"/>
      <x:c t="inlineStr" r="Q144"/>
      <x:c t="inlineStr" r="R144"/>
      <x:c t="inlineStr" r="S144"/>
      <x:c t="inlineStr" r="T144">
        <x:is>
          <x:t>linkedin.com</x:t>
        </x:is>
      </x:c>
      <x:c t="inlineStr" r="U144"/>
      <x:c t="inlineStr" r="V144"/>
      <x:c t="inlineStr" r="W144"/>
      <x:c t="inlineStr" r="X144"/>
      <x:c t="inlineStr" r="Y144">
        <x:is>
          <x:t>Rede social</x:t>
        </x:is>
      </x:c>
      <x:c t="inlineStr" r="Z144">
        <x:is>
          <x:t>Português</x:t>
        </x:is>
      </x:c>
      <x:c t="inlineStr" r="AA144"/>
      <x:c t="inlineStr" r="AB144"/>
      <x:c t="inlineStr" r="AC144"/>
      <x:c t="inlineStr" r="AD144"/>
      <x:c t="n" r="AE144">
        <x:v>4</x:v>
      </x:c>
      <x:c t="n" r="AF144">
        <x:v>6</x:v>
      </x:c>
      <x:c t="n" r="AG144">
        <x:v>4</x:v>
      </x:c>
      <x:c t="inlineStr" r="AH144"/>
      <x:c t="inlineStr" r="AI144"/>
      <x:c t="inlineStr" r="AJ144"/>
      <x:c t="inlineStr" r="AK144"/>
      <x:c t="inlineStr" r="AL144"/>
      <x:c t="inlineStr" r="AM144"/>
      <x:c t="inlineStr" r="AN144"/>
      <x:c t="n" r="AO144">
        <x:v>2</x:v>
      </x:c>
      <x:c t="inlineStr" r="AP144"/>
      <x:c t="inlineStr" r="AQ144"/>
      <x:c t="inlineStr" r="AR144"/>
      <x:c t="inlineStr" r="AS144"/>
      <x:c t="inlineStr" r="AT144"/>
      <x:c t="inlineStr" r="AU144"/>
      <x:c t="inlineStr" r="AV144"/>
      <x:c t="inlineStr" r="AW144">
        <x:is>
          <x:t/>
        </x:is>
      </x:c>
      <x:c t="inlineStr" r="AX144">
        <x:is>
          <x:t>clothing,text,shirt,lighting,ceiling,trousers</x:t>
        </x:is>
      </x:c>
      <x:c t="inlineStr" r="AY144">
        <x:is>
          <x:t>interior design,indoor</x:t>
        </x:is>
      </x:c>
      <x:c t="inlineStr" r="AZ144">
        <x:is>
          <x:t>man,woman</x:t>
        </x:is>
      </x:c>
      <x:c t="inlineStr" r="BA144">
        <x:is>
          <x:t>standing</x:t>
        </x:is>
      </x:c>
      <x:c t="inlineStr" r="BB144">
        <x:is>
          <x:t>PHOTO</x:t>
        </x:is>
      </x:c>
      <x:c t="inlineStr" r="BC144"/>
      <x:c r="BD144">
        <x:f>HYPERLINK("https://media.licdn.com/dms/image/v2/D4D22AQGhfm8TyHS6mA/feedshare-image-high-res/B4DaAbpx5OJgAU-/0/1787170332737?e=1788998400&amp;v=beta&amp;t=ZNqc-5KL8O1ImpWO6gwkfMj1era-wyO0KcweYmYAOA8")</x:f>
      </x:c>
      <x:c t="inlineStr" r="BE144">
        <x:is>
          <x:t/>
        </x:is>
      </x:c>
      <x:c t="inlineStr" r="BF144">
        <x:is>
          <x:t>Não</x:t>
        </x:is>
      </x:c>
      <x:c t="inlineStr" r="BG144"/>
      <x:c t="inlineStr" r="BH144">
        <x:is>
          <x:t/>
        </x:is>
      </x:c>
      <x:c t="inlineStr" r="BI144">
        <x:is>
          <x:t>Promoção</x:t>
        </x:is>
      </x:c>
      <x:c t="inlineStr" r="BJ144"/>
      <x:c t="inlineStr" r="BK144">
        <x:is>
          <x:t>Ipiranga,Rock In Rio</x:t>
        </x:is>
      </x:c>
      <x:c t="inlineStr" r="BL144"/>
      <x:c t="inlineStr" r="BM144"/>
      <x:c t="inlineStr" r="BN144"/>
      <x:c t="inlineStr" r="BO144"/>
      <x:c t="inlineStr" r="BP144"/>
      <x:c t="inlineStr" r="BQ144"/>
      <x:c t="inlineStr" r="BR144"/>
      <x:c t="inlineStr" r="BS144"/>
      <x:c t="inlineStr" r="BT144"/>
      <x:c t="inlineStr" r="BU144"/>
      <x:c t="inlineStr" r="BV144"/>
      <x:c t="inlineStr" r="BW144"/>
      <x:c t="inlineStr" r="BX144"/>
      <x:c t="inlineStr" r="BY144"/>
      <x:c t="inlineStr" r="BZ144">
        <x:is>
          <x:t>Ipiranga</x:t>
        </x:is>
      </x:c>
      <x:c t="inlineStr" r="CA144"/>
      <x:c t="inlineStr" r="CB144"/>
      <x:c t="inlineStr" r="CC144"/>
      <x:c t="inlineStr" r="CD144"/>
      <x:c t="inlineStr" r="CE144">
        <x:is>
          <x:t>Rock In Rio</x:t>
        </x:is>
      </x:c>
      <x:c t="inlineStr" r="CF144"/>
    </x:row>
    <x:row r="145">
      <x:c t="n" r="A145">
        <x:v>2167942819</x:v>
      </x:c>
      <x:c t="inlineStr" r="B145">
        <x:is>
          <x:t>19.08.2026</x:t>
        </x:is>
      </x:c>
      <x:c t="inlineStr" r="C145">
        <x:is>
          <x:t>17:04</x:t>
        </x:is>
      </x:c>
      <x:c t="inlineStr" r="D145">
        <x:is>
          <x:t>19.08.2026 17:19</x:t>
        </x:is>
      </x:c>
      <x:c t="inlineStr" r="E145">
        <x:is>
          <x:t/>
        </x:is>
      </x:c>
      <x:c t="str" r="F145">
        <x:v>🎤 Quem ama pagode também vai se emocionar no Rock In Rio Brasil 2026.
Resgate seu ingresso de gramado pelo app KMV usando seus pontos + dinheiro e ainda ganhe R$ 100 em vale-combustível. 
Garanta o ingresso no app KMV e já aproveite para fazer uma Parada Completa no Posto Ipiranga: abasteça com Ipimax, passe na AmPm ou no Jet Oil. 
Depois, é só aproveitar o festival! 🚗🎶 #Ipiranga #KMV #RockinRio2026</x:v>
      </x:c>
      <x:c t="inlineStr" r="G145">
        <x:is>
          <x:t/>
        </x:is>
      </x:c>
      <x:c t="inlineStr" r="H145"/>
      <x:c t="inlineStr" r="I145">
        <x:is>
          <x:t>Postar</x:t>
        </x:is>
      </x:c>
      <x:c t="inlineStr" r="J145">
        <x:is>
          <x:t>Texto,Imagem</x:t>
        </x:is>
      </x:c>
      <x:c t="inlineStr" r="K145"/>
      <x:c r="L145">
        <x:f>HYPERLINK("https://www.threads.net/@cantorbelomilgrau/post/DcPAS4QoJsu")</x:f>
      </x:c>
      <x:c t="inlineStr" r="M145">
        <x:is>
          <x:t>Negativo</x:t>
        </x:is>
      </x:c>
      <x:c t="inlineStr" r="N145">
        <x:is>
          <x:t>Central Cantor Belo</x:t>
        </x:is>
      </x:c>
      <x:c t="inlineStr" r="O145">
        <x:is>
          <x:t>cantorbelomilgrau</x:t>
        </x:is>
      </x:c>
      <x:c r="P145">
        <x:f>HYPERLINK("https://www.threads.net/@cantorbelomilgrau")</x:f>
      </x:c>
      <x:c t="n" r="Q145">
        <x:v>69142</x:v>
      </x:c>
      <x:c t="inlineStr" r="R145"/>
      <x:c t="inlineStr" r="S145"/>
      <x:c t="inlineStr" r="T145">
        <x:is>
          <x:t>threads.com</x:t>
        </x:is>
      </x:c>
      <x:c t="inlineStr" r="U145"/>
      <x:c t="inlineStr" r="V145"/>
      <x:c t="inlineStr" r="W145"/>
      <x:c t="inlineStr" r="X145"/>
      <x:c t="inlineStr" r="Y145">
        <x:is>
          <x:t>Rede social</x:t>
        </x:is>
      </x:c>
      <x:c t="inlineStr" r="Z145">
        <x:is>
          <x:t>Português</x:t>
        </x:is>
      </x:c>
      <x:c t="inlineStr" r="AA145"/>
      <x:c t="inlineStr" r="AB145"/>
      <x:c t="inlineStr" r="AC145"/>
      <x:c t="inlineStr" r="AD145"/>
      <x:c t="n" r="AE145">
        <x:v>1</x:v>
      </x:c>
      <x:c t="n" r="AF145">
        <x:v>1</x:v>
      </x:c>
      <x:c t="n" r="AG145">
        <x:v>1</x:v>
      </x:c>
      <x:c t="inlineStr" r="AH145"/>
      <x:c t="inlineStr" r="AI145"/>
      <x:c t="inlineStr" r="AJ145"/>
      <x:c t="inlineStr" r="AK145"/>
      <x:c t="inlineStr" r="AL145"/>
      <x:c t="inlineStr" r="AM145"/>
      <x:c t="inlineStr" r="AN145"/>
      <x:c t="n" r="AO145">
        <x:v>0</x:v>
      </x:c>
      <x:c t="inlineStr" r="AP145"/>
      <x:c t="inlineStr" r="AQ145"/>
      <x:c t="inlineStr" r="AR145"/>
      <x:c t="inlineStr" r="AS145"/>
      <x:c t="inlineStr" r="AT145"/>
      <x:c t="n" r="AU145">
        <x:v>69142</x:v>
      </x:c>
      <x:c t="inlineStr" r="AV145"/>
      <x:c t="inlineStr" r="AW145">
        <x:is>
          <x:t/>
        </x:is>
      </x:c>
      <x:c t="inlineStr" r="AX145">
        <x:is>
          <x:t>text,poster,emblem</x:t>
        </x:is>
      </x:c>
      <x:c t="inlineStr" r="AY145">
        <x:is>
          <x:t/>
        </x:is>
      </x:c>
      <x:c t="inlineStr" r="AZ145">
        <x:is>
          <x:t/>
        </x:is>
      </x:c>
      <x:c t="inlineStr" r="BA145">
        <x:is>
          <x:t/>
        </x:is>
      </x:c>
      <x:c t="inlineStr" r="BB145">
        <x:is>
          <x:t>ILLUSTRATION</x:t>
        </x:is>
      </x:c>
      <x:c t="inlineStr" r="BC145">
        <x:is>
          <x:t>advertising</x:t>
        </x:is>
      </x:c>
      <x:c t="inlineStr" r="BD145">
        <x:is>
          <x:t>https://instagram.fsnc2-1.fna.fbcdn.net/v/t51.82787-15/779001726_18377944483231945_5267128827144675992_n.jpg?stp=dst-jpg_e35_tt6&amp;_nc_cat=109&amp;ig_cache_key=Mzk2NzM5MTA5NDA5NTc4MDY1NA%3D%3D.3-ccb7-5&amp;ccb=7-5&amp;_nc_sid=58cdad&amp;efg=eyJ2ZW5jb2RlX3RhZyI6IkZFRUQueHBpZHMuMTM1MC5zZHIucmVndWxhcl9waG90by5DMyJ9&amp;_nc_ohc=-ov3Xi3TqXgQ7kNvwHnWZ0U&amp;_nc_oc=AdqnhrjJDEfx1XeixbuAAsltFOyMVZ2iMBsEoM2SsxetGx7EPcgDC-M1CPJY1sO-96U&amp;_nc_ad=z-m&amp;_nc_cid=0&amp;_nc_zt=23&amp;_nc_ht=instagram.fsnc2-1.fna&amp;_nc_gid=xaseCitXrM_I1vsq5fpcrA&amp;_nc_ss=7a22e&amp;oh=00_AQEvlwII4GUsjlbOAEeKFS2DhlVHaOZnai0u1gPlbUmWww&amp;oe=6A8BEBD5</x:t>
        </x:is>
      </x:c>
      <x:c t="inlineStr" r="BE145">
        <x:is>
          <x:t/>
        </x:is>
      </x:c>
      <x:c t="inlineStr" r="BF145">
        <x:is>
          <x:t>Não</x:t>
        </x:is>
      </x:c>
      <x:c t="inlineStr" r="BG145"/>
      <x:c t="inlineStr" r="BH145">
        <x:is>
          <x:t/>
        </x:is>
      </x:c>
      <x:c t="inlineStr" r="BI145">
        <x:is>
          <x:t>Promoção</x:t>
        </x:is>
      </x:c>
      <x:c t="inlineStr" r="BJ145"/>
      <x:c t="inlineStr" r="BK145">
        <x:is>
          <x:t>Franquia - Jet Oil,Franquia - AmPm,Ipimax,Campanha: Parada Completa,Ipiranga,App KMV,Rock In Rio</x:t>
        </x:is>
      </x:c>
      <x:c t="inlineStr" r="BL145"/>
      <x:c t="inlineStr" r="BM145"/>
      <x:c t="inlineStr" r="BN145"/>
      <x:c t="inlineStr" r="BO145"/>
      <x:c t="inlineStr" r="BP145"/>
      <x:c t="inlineStr" r="BQ145"/>
      <x:c t="inlineStr" r="BR145"/>
      <x:c t="inlineStr" r="BS145"/>
      <x:c t="inlineStr" r="BT145"/>
      <x:c t="inlineStr" r="BU145"/>
      <x:c t="inlineStr" r="BV145">
        <x:is>
          <x:t>Franquia - AmPm</x:t>
        </x:is>
      </x:c>
      <x:c t="inlineStr" r="BW145">
        <x:is>
          <x:t>Ipimax</x:t>
        </x:is>
      </x:c>
      <x:c t="inlineStr" r="BX145">
        <x:is>
          <x:t>Franquia - Jet Oil</x:t>
        </x:is>
      </x:c>
      <x:c t="inlineStr" r="BY145">
        <x:is>
          <x:t>Campanha: Parada Completa</x:t>
        </x:is>
      </x:c>
      <x:c t="inlineStr" r="BZ145">
        <x:is>
          <x:t>Ipiranga</x:t>
        </x:is>
      </x:c>
      <x:c t="inlineStr" r="CA145"/>
      <x:c t="inlineStr" r="CB145"/>
      <x:c t="inlineStr" r="CC145"/>
      <x:c t="inlineStr" r="CD145">
        <x:is>
          <x:t>App KMV</x:t>
        </x:is>
      </x:c>
      <x:c t="inlineStr" r="CE145">
        <x:is>
          <x:t>Rock In Rio</x:t>
        </x:is>
      </x:c>
      <x:c t="inlineStr" r="CF145"/>
    </x:row>
    <x:row r="146">
      <x:c t="n" r="A146">
        <x:v>4294449195</x:v>
      </x:c>
      <x:c t="inlineStr" r="B146">
        <x:is>
          <x:t>19.08.2026</x:t>
        </x:is>
      </x:c>
      <x:c t="inlineStr" r="C146">
        <x:is>
          <x:t>17:04</x:t>
        </x:is>
      </x:c>
      <x:c t="inlineStr" r="D146">
        <x:is>
          <x:t>19.08.2026 18:14</x:t>
        </x:is>
      </x:c>
      <x:c t="inlineStr" r="E146">
        <x:is>
          <x:t/>
        </x:is>
      </x:c>
      <x:c t="str" r="F146">
        <x:v>🎤 Quem ama pagode também vai se emocionar no Rock In Rio Brasil 2026.
Resgate seu ingresso de gramado pelo app KMV usando seus pontos + dinheiro e ainda ganhe R$ 100 em vale-combustível. 
Garanta o ingresso no app KMV e já aproveite para fazer uma Parada Completa no Posto Ipiranga: abasteça com Ipimax, passe na AmPm ou no Jet Oil. 
Depois, é só aproveitar o festival! 🚗🎶 #Ipiranga #KMV #RockinRio2026</x:v>
      </x:c>
      <x:c t="inlineStr" r="G146">
        <x:is>
          <x:t/>
        </x:is>
      </x:c>
      <x:c t="inlineStr" r="H146"/>
      <x:c t="inlineStr" r="I146">
        <x:is>
          <x:t>Postar</x:t>
        </x:is>
      </x:c>
      <x:c t="inlineStr" r="J146">
        <x:is>
          <x:t>Texto,Imagem</x:t>
        </x:is>
      </x:c>
      <x:c t="inlineStr" r="K146"/>
      <x:c r="L146">
        <x:f>HYPERLINK("https://www.instagram.com/p/DcPANpih2I_/")</x:f>
      </x:c>
      <x:c t="inlineStr" r="M146">
        <x:is>
          <x:t>Negativo</x:t>
        </x:is>
      </x:c>
      <x:c t="inlineStr" r="N146">
        <x:is>
          <x:t>Central Cantor Belo</x:t>
        </x:is>
      </x:c>
      <x:c t="inlineStr" r="O146">
        <x:is>
          <x:t>cantorbelomilgrau</x:t>
        </x:is>
      </x:c>
      <x:c r="P146">
        <x:f>HYPERLINK("https://www.instagram.com/cantorbelomilgrau/")</x:f>
      </x:c>
      <x:c t="n" r="Q146">
        <x:v>420524</x:v>
      </x:c>
      <x:c t="inlineStr" r="R146"/>
      <x:c t="inlineStr" r="S146"/>
      <x:c t="inlineStr" r="T146">
        <x:is>
          <x:t>instagram.com</x:t>
        </x:is>
      </x:c>
      <x:c t="inlineStr" r="U146">
        <x:is>
          <x:t>Central Cantor Belo</x:t>
        </x:is>
      </x:c>
      <x:c r="V146">
        <x:f>HYPERLINK("https://www.instagram.com/cantorbelomilgrau/")</x:f>
      </x:c>
      <x:c t="n" r="W146">
        <x:v>420524</x:v>
      </x:c>
      <x:c t="inlineStr" r="X146"/>
      <x:c t="inlineStr" r="Y146">
        <x:is>
          <x:t>Rede social</x:t>
        </x:is>
      </x:c>
      <x:c t="inlineStr" r="Z146">
        <x:is>
          <x:t>Português</x:t>
        </x:is>
      </x:c>
      <x:c t="inlineStr" r="AA146"/>
      <x:c t="inlineStr" r="AB146"/>
      <x:c t="inlineStr" r="AC146"/>
      <x:c t="inlineStr" r="AD146"/>
      <x:c t="n" r="AE146">
        <x:v>3</x:v>
      </x:c>
      <x:c t="n" r="AF146">
        <x:v>3</x:v>
      </x:c>
      <x:c t="n" r="AG146">
        <x:v>3</x:v>
      </x:c>
      <x:c t="inlineStr" r="AH146"/>
      <x:c t="inlineStr" r="AI146"/>
      <x:c t="inlineStr" r="AJ146"/>
      <x:c t="inlineStr" r="AK146"/>
      <x:c t="inlineStr" r="AL146"/>
      <x:c t="inlineStr" r="AM146"/>
      <x:c t="inlineStr" r="AN146"/>
      <x:c t="n" r="AO146">
        <x:v>0</x:v>
      </x:c>
      <x:c t="inlineStr" r="AP146"/>
      <x:c t="inlineStr" r="AQ146"/>
      <x:c t="inlineStr" r="AR146"/>
      <x:c t="inlineStr" r="AS146"/>
      <x:c t="inlineStr" r="AT146"/>
      <x:c t="n" r="AU146">
        <x:v>420524</x:v>
      </x:c>
      <x:c t="inlineStr" r="AV146"/>
      <x:c t="inlineStr" r="AW146">
        <x:is>
          <x:t/>
        </x:is>
      </x:c>
      <x:c t="inlineStr" r="AX146">
        <x:is>
          <x:t>text,poster,emblem</x:t>
        </x:is>
      </x:c>
      <x:c t="inlineStr" r="AY146">
        <x:is>
          <x:t/>
        </x:is>
      </x:c>
      <x:c t="inlineStr" r="AZ146">
        <x:is>
          <x:t/>
        </x:is>
      </x:c>
      <x:c t="inlineStr" r="BA146">
        <x:is>
          <x:t/>
        </x:is>
      </x:c>
      <x:c t="inlineStr" r="BB146">
        <x:is>
          <x:t>ILLUSTRATION</x:t>
        </x:is>
      </x:c>
      <x:c t="inlineStr" r="BC146">
        <x:is>
          <x:t>advertising</x:t>
        </x:is>
      </x:c>
      <x:c t="inlineStr" r="BD146">
        <x:is>
          <x:t>https://scontent-ams2-1.cdninstagram.com/v/t51.82787-15/779001726_18377944483231945_5267128827144675992_n.jpg?stp=dst-jpg_e35_tt6&amp;_nc_cat=109&amp;ccb=7-5&amp;_nc_sid=18de74&amp;efg=eyJlZmdfdGFnIjoiRkVFRC5iZXN0X2ltYWdlX3VybGdlbi5DMyJ9&amp;_nc_ohc=-ov3Xi3TqXgQ7kNvwGZvqov&amp;_nc_oc=AdpOKYUombg-J80sJOgdnVFEhm7B96sxzKypHd_1YcBDMkmojJF5hGFTzOxA0VCnfMs&amp;_nc_zt=23&amp;_nc_ht=scontent-ams2-1.cdninstagram.com&amp;edm=AJ7ooaQEAAAA&amp;_nc_gid=ZNd7wWsY70U_sR3nVbyhtQ&amp;oh=00_AQEciFs8Dh9-TiS9h4yQwShGjM0s0kz-IOTHwfvXisHQJw&amp;oe=6A8BEBD5</x:t>
        </x:is>
      </x:c>
      <x:c t="inlineStr" r="BE146">
        <x:is>
          <x:t/>
        </x:is>
      </x:c>
      <x:c t="inlineStr" r="BF146">
        <x:is>
          <x:t>Não</x:t>
        </x:is>
      </x:c>
      <x:c t="inlineStr" r="BG146"/>
      <x:c t="inlineStr" r="BH146">
        <x:is>
          <x:t/>
        </x:is>
      </x:c>
      <x:c t="inlineStr" r="BI146">
        <x:is>
          <x:t>Promoção</x:t>
        </x:is>
      </x:c>
      <x:c t="inlineStr" r="BJ146"/>
      <x:c t="inlineStr" r="BK146">
        <x:is>
          <x:t>Franquia - Jet Oil,Franquia - AmPm,Ipimax,Campanha: Parada Completa,Ipiranga,App KMV,Rock In Rio</x:t>
        </x:is>
      </x:c>
      <x:c t="inlineStr" r="BL146"/>
      <x:c t="inlineStr" r="BM146"/>
      <x:c t="inlineStr" r="BN146"/>
      <x:c t="inlineStr" r="BO146"/>
      <x:c t="inlineStr" r="BP146"/>
      <x:c t="inlineStr" r="BQ146"/>
      <x:c t="inlineStr" r="BR146"/>
      <x:c t="inlineStr" r="BS146"/>
      <x:c t="inlineStr" r="BT146"/>
      <x:c t="inlineStr" r="BU146"/>
      <x:c t="inlineStr" r="BV146">
        <x:is>
          <x:t>Franquia - AmPm</x:t>
        </x:is>
      </x:c>
      <x:c t="inlineStr" r="BW146">
        <x:is>
          <x:t>Ipimax</x:t>
        </x:is>
      </x:c>
      <x:c t="inlineStr" r="BX146">
        <x:is>
          <x:t>Franquia - Jet Oil</x:t>
        </x:is>
      </x:c>
      <x:c t="inlineStr" r="BY146">
        <x:is>
          <x:t>Campanha: Parada Completa</x:t>
        </x:is>
      </x:c>
      <x:c t="inlineStr" r="BZ146">
        <x:is>
          <x:t>Ipiranga</x:t>
        </x:is>
      </x:c>
      <x:c t="inlineStr" r="CA146"/>
      <x:c t="inlineStr" r="CB146"/>
      <x:c t="inlineStr" r="CC146"/>
      <x:c t="inlineStr" r="CD146">
        <x:is>
          <x:t>App KMV</x:t>
        </x:is>
      </x:c>
      <x:c t="inlineStr" r="CE146">
        <x:is>
          <x:t>Rock In Rio</x:t>
        </x:is>
      </x:c>
      <x:c t="inlineStr" r="CF146"/>
    </x:row>
    <x:row r="147">
      <x:c t="n" r="A147">
        <x:v>2415853582</x:v>
      </x:c>
      <x:c t="inlineStr" r="B147">
        <x:is>
          <x:t>19.08.2026</x:t>
        </x:is>
      </x:c>
      <x:c t="inlineStr" r="C147">
        <x:is>
          <x:t>11:20</x:t>
        </x:is>
      </x:c>
      <x:c t="inlineStr" r="D147">
        <x:is>
          <x:t>19.08.2026 17:16</x:t>
        </x:is>
      </x:c>
      <x:c t="inlineStr" r="E147">
        <x:is>
          <x:t/>
        </x:is>
      </x:c>
      <x:c t="str" r="F147">
        <x:v>O Rock in Rio 2026 promete ir muito além dos shows. Nesta edição, mais de 90 marcas estarão presentes na Cidade do Rock, com mais de 100 ativações, 8 mil horas de experiências e cerca de 1 milhão de brindes distribuídos ao longo dos sete dias de festival.
Entre as atrações, o público poderá aproveitar a Roda-Gigante Itaú, Tirolesa Heineken, Montanha-Russa iFood, Megadownload TIM e Superbet Discovery. As marcas também apostam em experiências interativas: a C&amp;A terá customização de jaquetas e Glambot, enquanto a Ipiranga prepara registros fotográficos. Coca-Cola volta com DJs e atrações, e KITKAT terá a experiência VIB (Very Important Breaker), com brindes exclusivos.
Os brindes estão entre os destaques mais aguardados. Entre os itens já revelados estão mini câmeras, shoulder bags, pochetes, pins, leques, nécessaires, copos com tirante, caixas de som, bucket hats e acessórios para celular. Marcas como AXIA Energia, C&amp;A, Coca-Cola, iFood, Itaú, LATAM, Nissin, Philco, Superbet, TIM, Trident e Volkswagen estão entre as que terão produtos especiais para o público.
Confira o que as marcas prepararam para a ocasião:
C&amp;A: leque, shoulder bag, pin, patches e mini câmera
Cif: óculos e pin
Coca-Cola: mini CD handstrap
Google Gemini: mini CD
iFood: bottom LED de coração e mini câmera
Ipiranga: pochete e leque
Itaú: copo com tirante e capinha de óculos
LATAM: nécessaire
Nissin: shoulder bag
Philco: caixa de som, duffle bag e pin
Prevent Senior: porta-copo térmico, ventilador portátil e toalha de rosto
Prudential: carteira de mão
Schweppes Mixed: bucket hat, shoulder bag e porta-copo
Superbet: caixa de som, pin e shoulder bag
Tic Tac: pin, viseira, bucket hat e corta-vento
TIM: cordinha de celular, shoulder bag, ventosa para celular e pulseira de silicone
DHL: mini câmera
Trident: shoulder bag e leque
Vale: nécessaire
Venancio: charm de pelúcia
Piracanjuba: porta-garrafas com alça e pins
Volkswagen: abraça-copo de pelúcia e porta-moedas
AXIA Energia: ring light, corta-vento e mini câmera
Hellmann’s: open de molhos
⏩ https://t.co/AkP5IvZJeA</x:v>
      </x:c>
      <x:c t="inlineStr" r="G147">
        <x:is>
          <x:t/>
        </x:is>
      </x:c>
      <x:c t="inlineStr" r="H147"/>
      <x:c t="inlineStr" r="I147">
        <x:is>
          <x:t>Postar</x:t>
        </x:is>
      </x:c>
      <x:c t="inlineStr" r="J147">
        <x:is>
          <x:t>Imagem,Texto</x:t>
        </x:is>
      </x:c>
      <x:c t="inlineStr" r="K147">
        <x:is>
          <x:t>TwitterNote</x:t>
        </x:is>
      </x:c>
      <x:c r="L147">
        <x:f>HYPERLINK("https://x.com/gkpb_oficial/status/2090081471813788080")</x:f>
      </x:c>
      <x:c t="inlineStr" r="M147">
        <x:is>
          <x:t>Negativo</x:t>
        </x:is>
      </x:c>
      <x:c t="inlineStr" r="N147">
        <x:is>
          <x:t>GKPB</x:t>
        </x:is>
      </x:c>
      <x:c t="inlineStr" r="O147">
        <x:is>
          <x:t>gkpb_oficial</x:t>
        </x:is>
      </x:c>
      <x:c r="P147">
        <x:f>HYPERLINK("http://x.com/gkpb_oficial")</x:f>
      </x:c>
      <x:c t="n" r="Q147">
        <x:v>5683</x:v>
      </x:c>
      <x:c t="inlineStr" r="R147"/>
      <x:c t="inlineStr" r="S147"/>
      <x:c t="inlineStr" r="T147">
        <x:is>
          <x:t>x.com</x:t>
        </x:is>
      </x:c>
      <x:c t="inlineStr" r="U147"/>
      <x:c t="inlineStr" r="V147"/>
      <x:c t="inlineStr" r="W147"/>
      <x:c t="inlineStr" r="X147"/>
      <x:c t="inlineStr" r="Y147">
        <x:is>
          <x:t>Rede social</x:t>
        </x:is>
      </x:c>
      <x:c t="inlineStr" r="Z147">
        <x:is>
          <x:t>Português</x:t>
        </x:is>
      </x:c>
      <x:c t="inlineStr" r="AA147">
        <x:is>
          <x:t>Brasil</x:t>
        </x:is>
      </x:c>
      <x:c t="inlineStr" r="AB147">
        <x:is>
          <x:t>São Paulo</x:t>
        </x:is>
      </x:c>
      <x:c t="inlineStr" r="AC147"/>
      <x:c t="inlineStr" r="AD147"/>
      <x:c t="n" r="AE147">
        <x:v>5</x:v>
      </x:c>
      <x:c t="n" r="AF147">
        <x:v>5</x:v>
      </x:c>
      <x:c t="n" r="AG147">
        <x:v>5</x:v>
      </x:c>
      <x:c t="inlineStr" r="AH147"/>
      <x:c t="inlineStr" r="AI147"/>
      <x:c t="inlineStr" r="AJ147"/>
      <x:c t="inlineStr" r="AK147"/>
      <x:c t="inlineStr" r="AL147"/>
      <x:c t="inlineStr" r="AM147"/>
      <x:c t="inlineStr" r="AN147"/>
      <x:c t="inlineStr" r="AO147"/>
      <x:c t="inlineStr" r="AP147"/>
      <x:c t="n" r="AQ147">
        <x:v>765</x:v>
      </x:c>
      <x:c t="inlineStr" r="AR147"/>
      <x:c t="inlineStr" r="AS147"/>
      <x:c t="n" r="AT147">
        <x:v>4</x:v>
      </x:c>
      <x:c t="n" r="AU147">
        <x:v>5683</x:v>
      </x:c>
      <x:c t="inlineStr" r="AV147"/>
      <x:c t="inlineStr" r="AW147">
        <x:is>
          <x:t/>
        </x:is>
      </x:c>
      <x:c t="inlineStr" r="AX147">
        <x:is>
          <x:t>sky,tree,plant,lighting</x:t>
        </x:is>
      </x:c>
      <x:c t="inlineStr" r="AY147">
        <x:is>
          <x:t>park,amusement park,outdoor</x:t>
        </x:is>
      </x:c>
      <x:c t="inlineStr" r="AZ147">
        <x:is>
          <x:t/>
        </x:is>
      </x:c>
      <x:c t="inlineStr" r="BA147">
        <x:is>
          <x:t/>
        </x:is>
      </x:c>
      <x:c t="inlineStr" r="BB147">
        <x:is>
          <x:t>ILLUSTRATION</x:t>
        </x:is>
      </x:c>
      <x:c t="inlineStr" r="BC147"/>
      <x:c r="BD147">
        <x:f>HYPERLINK("https://pbs.twimg.com/media/HQF2BDmWAAAGhoX.jpg")</x:f>
      </x:c>
      <x:c t="inlineStr" r="BE147">
        <x:is>
          <x:t/>
        </x:is>
      </x:c>
      <x:c t="inlineStr" r="BF147">
        <x:is>
          <x:t>Não</x:t>
        </x:is>
      </x:c>
      <x:c t="inlineStr" r="BG147"/>
      <x:c t="inlineStr" r="BH147">
        <x:is>
          <x:t>Acontecimento</x:t>
        </x:is>
      </x:c>
      <x:c t="inlineStr" r="BI147">
        <x:is>
          <x:t>Artigo</x:t>
        </x:is>
      </x:c>
      <x:c t="inlineStr" r="BJ147"/>
      <x:c t="inlineStr" r="BK147">
        <x:is>
          <x:t>Ipiranga,Rock In Rio</x:t>
        </x:is>
      </x:c>
      <x:c t="inlineStr" r="BL147"/>
      <x:c t="inlineStr" r="BM147"/>
      <x:c t="inlineStr" r="BN147"/>
      <x:c t="inlineStr" r="BO147"/>
      <x:c t="inlineStr" r="BP147"/>
      <x:c t="inlineStr" r="BQ147"/>
      <x:c t="inlineStr" r="BR147"/>
      <x:c t="inlineStr" r="BS147"/>
      <x:c t="inlineStr" r="BT147"/>
      <x:c t="inlineStr" r="BU147"/>
      <x:c t="inlineStr" r="BV147"/>
      <x:c t="inlineStr" r="BW147"/>
      <x:c t="inlineStr" r="BX147"/>
      <x:c t="inlineStr" r="BY147"/>
      <x:c t="inlineStr" r="BZ147">
        <x:is>
          <x:t>Ipiranga</x:t>
        </x:is>
      </x:c>
      <x:c t="inlineStr" r="CA147"/>
      <x:c t="inlineStr" r="CB147"/>
      <x:c t="inlineStr" r="CC147"/>
      <x:c t="inlineStr" r="CD147"/>
      <x:c t="inlineStr" r="CE147">
        <x:is>
          <x:t>Rock In Rio</x:t>
        </x:is>
      </x:c>
      <x:c t="inlineStr" r="CF147"/>
    </x:row>
    <x:row r="148">
      <x:c t="n" r="A148">
        <x:v>3991660399</x:v>
      </x:c>
      <x:c t="inlineStr" r="B148">
        <x:is>
          <x:t>19.08.2026</x:t>
        </x:is>
      </x:c>
      <x:c t="inlineStr" r="C148">
        <x:is>
          <x:t>11:14</x:t>
        </x:is>
      </x:c>
      <x:c t="inlineStr" r="D148">
        <x:is>
          <x:t>19.08.2026 17:16</x:t>
        </x:is>
      </x:c>
      <x:c t="inlineStr" r="E148">
        <x:is>
          <x:t/>
        </x:is>
      </x:c>
      <x:c t="str" r="F148">
        <x:v>O Rock in Rio 2026 promete ir muito além dos shows. Nesta edição, mais de 90 marcas estarão presentes na Cidade do Rock, com mais de 100 ativações, 8 mil horas de experiências e cerca de 1 milhão de brindes distribuídos ao longo dos sete dias de festival.
Entre as atrações, o público poderá aproveitar a Roda-Gigante Itaú, Tirolesa Heineken, Montanha-Russa iFood, Megadownload TIM e Superbet Discovery. As marcas também apostam em experiências interativas: a C&amp;A terá customização de jaquetas e Glambot, enquanto a Ipiranga prepara registros fotográficos. Coca-Cola volta com DJs e atrações, e KITKAT terá a experiência VIB (Very Important Breaker), com brindes exclusivos.
Os brindes estão entre os destaques mais aguardados. Entre os itens já revelados estão mini câmeras, shoulder bags, pochetes, pins, leques, nécessaires, copos com tirante, caixas de som, bucket hats e acessórios para celular. Marcas como AXIA Energia, C&amp;A, Coca-Cola, iFood, Itaú, LATAM, Nissin, Philco, Superbet, TIM, Trident e Volkswagen estão entre as que terão produtos especiais para o público.
Confira o que as marcas prepararam para a ocasião:
C&amp;A: leque, shoulder bag, pin, patches e mini câmera
Cif: óculos e pin
Coca-Cola: mini CD handstrap
Google Gemini: mini CD
iFood: bottom LED de coração e mini câmera
Ipiranga: pochete e leque
Itaú: copo com tirante e capinha de óculos
LATAM: nécessaire
Nissin: shoulder bag
Philco: caixa de som, duffle bag e pin
Prevent Senior: porta-copo térmico, ventilador portátil e toalha de rosto
Prudential: carteira de mão
Schweppes Mixed: bucket hat, shoulder bag e porta-copo
Superbet: caixa de som, pin e shoulder bag
Tic Tac: pin, viseira, bucket hat e corta-vento
TIM: cordinha de celular, shoulder bag, ventosa para celular e pulseira de silicone
DHL: mini câmera
Trident: shoulder bag e leque
Vale: nécessaire
Venancio: charm de pelúcia
Piracanjuba: porta-garrafas com alça e pins
Volkswagen: abraça-copo de pelúcia e porta-moedas
AXIA Energia: ring light, corta-vento e mini câmera
Hellmann’s: open de molhos
Leia mais em nosso site! Link na bio
#RockInRio #Eventos #GKPB_Eventos</x:v>
      </x:c>
      <x:c t="inlineStr" r="G148">
        <x:is>
          <x:t/>
        </x:is>
      </x:c>
      <x:c t="inlineStr" r="H148"/>
      <x:c t="inlineStr" r="I148">
        <x:is>
          <x:t>Postar</x:t>
        </x:is>
      </x:c>
      <x:c t="inlineStr" r="J148">
        <x:is>
          <x:t>Texto,Imagem</x:t>
        </x:is>
      </x:c>
      <x:c t="inlineStr" r="K148"/>
      <x:c r="L148">
        <x:f>HYPERLINK("https://www.instagram.com/p/DcOYNe5DAmi/")</x:f>
      </x:c>
      <x:c t="inlineStr" r="M148">
        <x:is>
          <x:t>Negativo</x:t>
        </x:is>
      </x:c>
      <x:c t="inlineStr" r="N148">
        <x:is>
          <x:t>GKPB</x:t>
        </x:is>
      </x:c>
      <x:c t="inlineStr" r="O148">
        <x:is>
          <x:t>gkpb.oficial</x:t>
        </x:is>
      </x:c>
      <x:c r="P148">
        <x:f>HYPERLINK("http://instagram.com/gkpb.oficial")</x:f>
      </x:c>
      <x:c t="n" r="Q148">
        <x:v>112066</x:v>
      </x:c>
      <x:c t="inlineStr" r="R148"/>
      <x:c t="inlineStr" r="S148"/>
      <x:c t="inlineStr" r="T148">
        <x:is>
          <x:t>instagram.com</x:t>
        </x:is>
      </x:c>
      <x:c t="inlineStr" r="U148">
        <x:is>
          <x:t>GKPB</x:t>
        </x:is>
      </x:c>
      <x:c r="V148">
        <x:f>HYPERLINK("http://instagram.com/gkpb.oficial")</x:f>
      </x:c>
      <x:c t="n" r="W148">
        <x:v>112066</x:v>
      </x:c>
      <x:c t="inlineStr" r="X148"/>
      <x:c t="inlineStr" r="Y148">
        <x:is>
          <x:t>Rede social</x:t>
        </x:is>
      </x:c>
      <x:c t="inlineStr" r="Z148">
        <x:is>
          <x:t>Português</x:t>
        </x:is>
      </x:c>
      <x:c t="inlineStr" r="AA148"/>
      <x:c t="inlineStr" r="AB148"/>
      <x:c t="inlineStr" r="AC148"/>
      <x:c t="inlineStr" r="AD148"/>
      <x:c t="n" r="AE148">
        <x:v>2999</x:v>
      </x:c>
      <x:c t="n" r="AF148">
        <x:v>3038</x:v>
      </x:c>
      <x:c t="n" r="AG148">
        <x:v>2999</x:v>
      </x:c>
      <x:c t="inlineStr" r="AH148"/>
      <x:c t="inlineStr" r="AI148"/>
      <x:c t="inlineStr" r="AJ148"/>
      <x:c t="inlineStr" r="AK148"/>
      <x:c t="inlineStr" r="AL148"/>
      <x:c t="inlineStr" r="AM148"/>
      <x:c t="inlineStr" r="AN148"/>
      <x:c t="n" r="AO148">
        <x:v>39</x:v>
      </x:c>
      <x:c t="inlineStr" r="AP148"/>
      <x:c t="inlineStr" r="AQ148"/>
      <x:c t="inlineStr" r="AR148"/>
      <x:c t="inlineStr" r="AS148"/>
      <x:c t="inlineStr" r="AT148"/>
      <x:c t="n" r="AU148">
        <x:v>112066</x:v>
      </x:c>
      <x:c t="inlineStr" r="AV148"/>
      <x:c t="inlineStr" r="AW148"/>
      <x:c t="inlineStr" r="AX148">
        <x:is>
          <x:t>text,tree,plant,building,sky</x:t>
        </x:is>
      </x:c>
      <x:c t="inlineStr" r="AY148">
        <x:is>
          <x:t>park,night,outdoor</x:t>
        </x:is>
      </x:c>
      <x:c t="inlineStr" r="AZ148"/>
      <x:c t="inlineStr" r="BA148"/>
      <x:c t="inlineStr" r="BB148">
        <x:is>
          <x:t>ILLUSTRATION</x:t>
        </x:is>
      </x:c>
      <x:c t="inlineStr" r="BC148"/>
      <x:c t="inlineStr" r="BD148">
        <x:is>
          <x:t>https://scontent-lax3-2.cdninstagram.com/v/t39.30808-6/777854204_1684488210343541_8419997031212131180_n.jpg?stp=dst-jpg_e35_tt6&amp;_nc_cat=100&amp;ig_cache_key=Mzk2NzIxNDgwMTM5ODc5NDY1OA%3D%3D.3-ccb7-5&amp;ccb=7-5&amp;_nc_sid=58cdad&amp;efg=eyJ2ZW5jb2RlX3RhZyI6IkZFRUQueHBpZHMuMTA4MC5zZHIucmVndWxhcl9waG90by5DMyJ9&amp;_nc_ohc=YMbpk75KTxkQ7kNvwFYWxrs&amp;_nc_oc=AdpvseMECEhov3cE6v5xtsx-Lk2NCfKsHwPiEiaK3rL9nmvnGFb_U3FkNTCdEd98Eew&amp;_nc_zt=23&amp;_nc_ht=scontent-lax3-2.cdninstagram.com&amp;_nc_gid=z5z3ba2JV6SktiiqKfU9tw&amp;_nc_ss=70689&amp;oh=00_AQHQnBf4jJvua0WYMFryg0g-DX10saVY9JR-e0GjAJ6jFw&amp;oe=6A8B8A3D</x:t>
        </x:is>
      </x:c>
      <x:c t="inlineStr" r="BE148">
        <x:is>
          <x:t/>
        </x:is>
      </x:c>
      <x:c t="inlineStr" r="BF148">
        <x:is>
          <x:t>Não</x:t>
        </x:is>
      </x:c>
      <x:c t="inlineStr" r="BG148"/>
      <x:c t="inlineStr" r="BH148">
        <x:is>
          <x:t>Acontecimento</x:t>
        </x:is>
      </x:c>
      <x:c t="inlineStr" r="BI148">
        <x:is>
          <x:t>Artigo</x:t>
        </x:is>
      </x:c>
      <x:c t="inlineStr" r="BJ148"/>
      <x:c t="inlineStr" r="BK148">
        <x:is>
          <x:t>Ipiranga,Rock In Rio</x:t>
        </x:is>
      </x:c>
      <x:c t="inlineStr" r="BL148"/>
      <x:c t="inlineStr" r="BM148"/>
      <x:c t="inlineStr" r="BN148"/>
      <x:c t="inlineStr" r="BO148"/>
      <x:c t="inlineStr" r="BP148"/>
      <x:c t="inlineStr" r="BQ148"/>
      <x:c t="inlineStr" r="BR148"/>
      <x:c t="inlineStr" r="BS148"/>
      <x:c t="inlineStr" r="BT148"/>
      <x:c t="inlineStr" r="BU148"/>
      <x:c t="inlineStr" r="BV148"/>
      <x:c t="inlineStr" r="BW148"/>
      <x:c t="inlineStr" r="BX148"/>
      <x:c t="inlineStr" r="BY148"/>
      <x:c t="inlineStr" r="BZ148">
        <x:is>
          <x:t>Ipiranga</x:t>
        </x:is>
      </x:c>
      <x:c t="inlineStr" r="CA148"/>
      <x:c t="inlineStr" r="CB148"/>
      <x:c t="inlineStr" r="CC148"/>
      <x:c t="inlineStr" r="CD148"/>
      <x:c t="inlineStr" r="CE148">
        <x:is>
          <x:t>Rock In Rio</x:t>
        </x:is>
      </x:c>
      <x:c t="inlineStr" r="CF148"/>
    </x:row>
    <x:row r="149">
      <x:c t="n" r="A149">
        <x:v>2561764211</x:v>
      </x:c>
      <x:c t="inlineStr" r="B149">
        <x:is>
          <x:t>19.08.2026</x:t>
        </x:is>
      </x:c>
      <x:c t="inlineStr" r="C149">
        <x:is>
          <x:t>11:14</x:t>
        </x:is>
      </x:c>
      <x:c t="inlineStr" r="D149">
        <x:is>
          <x:t>19.08.2026 21:53</x:t>
        </x:is>
      </x:c>
      <x:c t="inlineStr" r="E149">
        <x:is>
          <x:t/>
        </x:is>
      </x:c>
      <x:c t="str" r="F149">
        <x:v>O Rock in Rio 2026 promete ir muito além dos shows. Nesta edição, mais de 90 marcas estarão presentes na Cidade do Rock, com mais de 100 ativações, 8 mil horas de experiências e cerca de 1 milhão de brindes distribuídos ao longo dos sete dias de festival.
Entre as atrações, o público poderá aproveitar a Roda-Gigante Itaú, Tirolesa Heineken, Montanha-Russa iFood, Megadownload TIM e Superbet Discovery. As marcas também apostam em experiências interativas: a C&amp;A terá customização de jaquetas e Glambot, enquanto a Ipiranga prepara registros fotográficos. Coca-Cola volta com DJs e atrações, e KITKAT terá a experiência VIB (Very Important Breaker), com brindes exclusivos.
Os brindes estão entre os destaques mais aguardados. Entre os itens já revelados estão mini câmeras, shoulder bags, pochetes, pins, leques, nécessaires, copos com tirante, caixas de som, bucket hats e acessórios para celular. Marcas como AXIA Energia, C&amp;A, Coca-Cola, iFood, Itaú, LATAM, Nissin, Philco, Superbet, TIM, Trident e Volkswagen estão entre as que terão produtos especiais para o público.
Confira o que as marcas prepararam para a ocasião:
C&amp;A: leque, shoulder bag, pin, patches e mini câmera
Cif: óculos e pin
Coca-Cola: mini CD handstrap
Google Gemini: mini CD
iFood: bottom LED de coração e mini câmera
Ipiranga: pochete e leque
Itaú: copo com tirante e capinha de óculos
LATAM: nécessaire
Nissin: shoulder bag
Philco: caixa de som, duffle bag e pin
Prevent Senior: porta-copo térmico, ventilador portátil e toalha de rosto
Prudential: carteira de mão
Schweppes Mixed: bucket hat, shoulder bag e porta-copo
Superbet: caixa de som, pin e shoulder bag
Tic Tac: pin, viseira, bucket hat e corta-vento
TIM: cordinha de celular, shoulder bag, ventosa para celular e pulseira de silicone
DHL: mini câmera
Trident: shoulder bag e leque
Vale: nécessaire
Venancio: charm de pelúcia
Piracanjuba: porta-garrafas com alça e pins
Volkswagen: abraça-copo de pelúcia e porta-moedas
AXIA Energia: ring light, corta-vento e mini câmera
Hellmann’s: open de molhos
Leia mais em nosso site!
https://gkpb.com.br/196895/rock-in-rio-2026-brindes-ativacoes/
#RockInRio #Eventos #GKPB_Eventos</x:v>
      </x:c>
      <x:c t="inlineStr" r="G149">
        <x:is>
          <x:t/>
        </x:is>
      </x:c>
      <x:c t="inlineStr" r="H149"/>
      <x:c t="inlineStr" r="I149">
        <x:is>
          <x:t>Postar</x:t>
        </x:is>
      </x:c>
      <x:c t="inlineStr" r="J149">
        <x:is>
          <x:t>Texto,Imagem</x:t>
        </x:is>
      </x:c>
      <x:c t="inlineStr" r="K149"/>
      <x:c r="L149">
        <x:f>HYPERLINK("https://www.facebook.com/1684490420343320")</x:f>
      </x:c>
      <x:c t="inlineStr" r="M149">
        <x:is>
          <x:t>Negativo</x:t>
        </x:is>
      </x:c>
      <x:c t="inlineStr" r="N149">
        <x:is>
          <x:t>GKPB - Geek Publicitário</x:t>
        </x:is>
      </x:c>
      <x:c t="inlineStr" r="O149"/>
      <x:c r="P149">
        <x:f>HYPERLINK("https://www.facebook.com/408738192556840")</x:f>
      </x:c>
      <x:c t="n" r="Q149">
        <x:v>63772</x:v>
      </x:c>
      <x:c t="inlineStr" r="R149">
        <x:is>
          <x:t>Comunidade</x:t>
        </x:is>
      </x:c>
      <x:c t="inlineStr" r="S149"/>
      <x:c t="inlineStr" r="T149">
        <x:is>
          <x:t>facebook.com</x:t>
        </x:is>
      </x:c>
      <x:c t="inlineStr" r="U149">
        <x:is>
          <x:t>GKPB - Geek Publicitário</x:t>
        </x:is>
      </x:c>
      <x:c r="V149">
        <x:f>HYPERLINK("https://www.facebook.com/408738192556840")</x:f>
      </x:c>
      <x:c t="n" r="W149">
        <x:v>63772</x:v>
      </x:c>
      <x:c t="inlineStr" r="X149"/>
      <x:c t="inlineStr" r="Y149">
        <x:is>
          <x:t>Rede social</x:t>
        </x:is>
      </x:c>
      <x:c t="inlineStr" r="Z149">
        <x:is>
          <x:t>Português</x:t>
        </x:is>
      </x:c>
      <x:c t="inlineStr" r="AA149">
        <x:is>
          <x:t>Brasil</x:t>
        </x:is>
      </x:c>
      <x:c t="inlineStr" r="AB149">
        <x:is>
          <x:t>São Paulo</x:t>
        </x:is>
      </x:c>
      <x:c t="inlineStr" r="AC149">
        <x:is>
          <x:t>São Paulo</x:t>
        </x:is>
      </x:c>
      <x:c t="inlineStr" r="AD149"/>
      <x:c t="n" r="AE149">
        <x:v>4</x:v>
      </x:c>
      <x:c t="n" r="AF149">
        <x:v>6</x:v>
      </x:c>
      <x:c t="n" r="AG149">
        <x:v>4</x:v>
      </x:c>
      <x:c t="inlineStr" r="AH149"/>
      <x:c t="inlineStr" r="AI149"/>
      <x:c t="inlineStr" r="AJ149"/>
      <x:c t="inlineStr" r="AK149"/>
      <x:c t="inlineStr" r="AL149"/>
      <x:c t="inlineStr" r="AM149"/>
      <x:c t="inlineStr" r="AN149"/>
      <x:c t="n" r="AO149">
        <x:v>0</x:v>
      </x:c>
      <x:c t="n" r="AP149">
        <x:v>2</x:v>
      </x:c>
      <x:c t="inlineStr" r="AQ149"/>
      <x:c t="inlineStr" r="AR149"/>
      <x:c t="inlineStr" r="AS149"/>
      <x:c t="inlineStr" r="AT149"/>
      <x:c t="n" r="AU149">
        <x:v>63772</x:v>
      </x:c>
      <x:c t="inlineStr" r="AV149"/>
      <x:c t="inlineStr" r="AW149">
        <x:is>
          <x:t/>
        </x:is>
      </x:c>
      <x:c t="inlineStr" r="AX149">
        <x:is>
          <x:t>text,tree,plant,building,sky</x:t>
        </x:is>
      </x:c>
      <x:c t="inlineStr" r="AY149">
        <x:is>
          <x:t>park,night,outdoor</x:t>
        </x:is>
      </x:c>
      <x:c t="inlineStr" r="AZ149">
        <x:is>
          <x:t/>
        </x:is>
      </x:c>
      <x:c t="inlineStr" r="BA149">
        <x:is>
          <x:t/>
        </x:is>
      </x:c>
      <x:c t="inlineStr" r="BB149">
        <x:is>
          <x:t>ILLUSTRATION</x:t>
        </x:is>
      </x:c>
      <x:c t="inlineStr" r="BC149"/>
      <x:c t="inlineStr" r="BD149">
        <x:is>
          <x:t>https://scontent.flpg4-1.fna.fbcdn.net/v/t39.99422-6/777916124_943238138835938_4541237771083523375_n.png?stp=dst-jpg_tt6&amp;cstp=mx1080x1350&amp;ctp=s1080x1350&amp;_nc_cat=108&amp;ccb=1-7&amp;_nc_sid=127cfc&amp;_nc_ohc=oWmGzz4WGpoQ7kNvwF9faPJ&amp;_nc_oc=AdrtZpl4lCqOft1NhZOJBPjTNhhz_6seQwEu8WLkYz1-1XfV5s6VkPhX2IsevnNxAtjeb2ACz5zbZJROXtBsYJfG&amp;_nc_zt=14&amp;_nc_ht=scontent.flpg4-1.fna&amp;_nc_gid=eSDxPWR-9lKa84UcRpxEHg&amp;_nc_ss=70100&amp;oh=00_AQGnLFzr-ejcFaU92YAn2V4EnpZ7YVg5nkaqu1qb4hJr-A&amp;oe=6A8C0703</x:t>
        </x:is>
      </x:c>
      <x:c t="inlineStr" r="BE149">
        <x:is>
          <x:t/>
        </x:is>
      </x:c>
      <x:c t="inlineStr" r="BF149">
        <x:is>
          <x:t>Não</x:t>
        </x:is>
      </x:c>
      <x:c t="inlineStr" r="BG149"/>
      <x:c t="inlineStr" r="BH149">
        <x:is>
          <x:t>Acontecimento</x:t>
        </x:is>
      </x:c>
      <x:c t="inlineStr" r="BI149">
        <x:is>
          <x:t>Artigo</x:t>
        </x:is>
      </x:c>
      <x:c t="inlineStr" r="BJ149"/>
      <x:c t="inlineStr" r="BK149">
        <x:is>
          <x:t>Ipiranga,Rock In Rio</x:t>
        </x:is>
      </x:c>
      <x:c t="inlineStr" r="BL149"/>
      <x:c t="inlineStr" r="BM149"/>
      <x:c t="inlineStr" r="BN149"/>
      <x:c t="inlineStr" r="BO149"/>
      <x:c t="inlineStr" r="BP149"/>
      <x:c t="inlineStr" r="BQ149"/>
      <x:c t="inlineStr" r="BR149"/>
      <x:c t="inlineStr" r="BS149"/>
      <x:c t="inlineStr" r="BT149"/>
      <x:c t="inlineStr" r="BU149"/>
      <x:c t="inlineStr" r="BV149"/>
      <x:c t="inlineStr" r="BW149"/>
      <x:c t="inlineStr" r="BX149"/>
      <x:c t="inlineStr" r="BY149"/>
      <x:c t="inlineStr" r="BZ149">
        <x:is>
          <x:t>Ipiranga</x:t>
        </x:is>
      </x:c>
      <x:c t="inlineStr" r="CA149"/>
      <x:c t="inlineStr" r="CB149"/>
      <x:c t="inlineStr" r="CC149"/>
      <x:c t="inlineStr" r="CD149"/>
      <x:c t="inlineStr" r="CE149">
        <x:is>
          <x:t>Rock In Rio</x:t>
        </x:is>
      </x:c>
      <x:c t="inlineStr" r="CF149"/>
    </x:row>
    <x:row r="150">
      <x:c t="n" r="A150">
        <x:v>4123269060</x:v>
      </x:c>
      <x:c t="inlineStr" r="B150">
        <x:is>
          <x:t>19.08.2026</x:t>
        </x:is>
      </x:c>
      <x:c t="inlineStr" r="C150">
        <x:is>
          <x:t>11:02</x:t>
        </x:is>
      </x:c>
      <x:c t="inlineStr" r="D150">
        <x:is>
          <x:t>20.08.2026 18:57</x:t>
        </x:is>
      </x:c>
      <x:c t="inlineStr" r="E150">
        <x:is>
          <x:t/>
        </x:is>
      </x:c>
      <x:c t="str" r="F150">
        <x:v>então esse aqui que é o transfer da @ipiranga pro RIR? não acompanho muito 
#rockinrio #rir #ipiranga</x:v>
      </x:c>
      <x:c t="inlineStr" r="G150">
        <x:is>
          <x:t/>
        </x:is>
      </x:c>
      <x:c t="inlineStr" r="H150"/>
      <x:c t="inlineStr" r="I150">
        <x:is>
          <x:t>Postar</x:t>
        </x:is>
      </x:c>
      <x:c t="inlineStr" r="J150">
        <x:is>
          <x:t>Imagem,Texto</x:t>
        </x:is>
      </x:c>
      <x:c t="inlineStr" r="K150"/>
      <x:c r="L150">
        <x:f>HYPERLINK("https://x.com/arobin__/status/2090077008847904812")</x:f>
      </x:c>
      <x:c t="inlineStr" r="M150">
        <x:is>
          <x:t>Negativo</x:t>
        </x:is>
      </x:c>
      <x:c t="inlineStr" r="N150">
        <x:is>
          <x:t>robin</x:t>
        </x:is>
      </x:c>
      <x:c t="inlineStr" r="O150">
        <x:is>
          <x:t>arobin__</x:t>
        </x:is>
      </x:c>
      <x:c r="P150">
        <x:f>HYPERLINK("http://x.com/arobin__")</x:f>
      </x:c>
      <x:c t="n" r="Q150">
        <x:v>160</x:v>
      </x:c>
      <x:c t="inlineStr" r="R150">
        <x:is>
          <x:t>Homem</x:t>
        </x:is>
      </x:c>
      <x:c t="inlineStr" r="S150"/>
      <x:c t="inlineStr" r="T150">
        <x:is>
          <x:t>x.com</x:t>
        </x:is>
      </x:c>
      <x:c t="inlineStr" r="U150"/>
      <x:c t="inlineStr" r="V150"/>
      <x:c t="inlineStr" r="W150"/>
      <x:c t="inlineStr" r="X150"/>
      <x:c t="inlineStr" r="Y150">
        <x:is>
          <x:t>Rede social</x:t>
        </x:is>
      </x:c>
      <x:c t="inlineStr" r="Z150">
        <x:is>
          <x:t>Português</x:t>
        </x:is>
      </x:c>
      <x:c t="inlineStr" r="AA150">
        <x:is>
          <x:t>Brasil</x:t>
        </x:is>
      </x:c>
      <x:c t="inlineStr" r="AB150"/>
      <x:c t="inlineStr" r="AC150"/>
      <x:c t="inlineStr" r="AD150"/>
      <x:c t="n" r="AE150">
        <x:v>32</x:v>
      </x:c>
      <x:c t="n" r="AF150">
        <x:v>56</x:v>
      </x:c>
      <x:c t="n" r="AG150">
        <x:v>32</x:v>
      </x:c>
      <x:c t="inlineStr" r="AH150"/>
      <x:c t="inlineStr" r="AI150"/>
      <x:c t="inlineStr" r="AJ150"/>
      <x:c t="inlineStr" r="AK150"/>
      <x:c t="inlineStr" r="AL150"/>
      <x:c t="inlineStr" r="AM150"/>
      <x:c t="inlineStr" r="AN150"/>
      <x:c t="n" r="AO150">
        <x:v>14</x:v>
      </x:c>
      <x:c t="n" r="AP150">
        <x:v>10</x:v>
      </x:c>
      <x:c t="n" r="AQ150">
        <x:v>955</x:v>
      </x:c>
      <x:c t="inlineStr" r="AR150"/>
      <x:c t="inlineStr" r="AS150"/>
      <x:c t="n" r="AT150">
        <x:v>1</x:v>
      </x:c>
      <x:c t="n" r="AU150">
        <x:v>160</x:v>
      </x:c>
      <x:c t="inlineStr" r="AV150"/>
      <x:c t="inlineStr" r="AW150">
        <x:is>
          <x:t>Ipiranga</x:t>
        </x:is>
      </x:c>
      <x:c t="inlineStr" r="AX150">
        <x:is>
          <x:t>public transport,text,vehicle,bus</x:t>
        </x:is>
      </x:c>
      <x:c t="inlineStr" r="AY150">
        <x:is>
          <x:t/>
        </x:is>
      </x:c>
      <x:c t="inlineStr" r="AZ150">
        <x:is>
          <x:t/>
        </x:is>
      </x:c>
      <x:c t="inlineStr" r="BA150">
        <x:is>
          <x:t/>
        </x:is>
      </x:c>
      <x:c t="inlineStr" r="BB150">
        <x:is>
          <x:t>ILLUSTRATION</x:t>
        </x:is>
      </x:c>
      <x:c t="inlineStr" r="BC150">
        <x:is>
          <x:t>advertising</x:t>
        </x:is>
      </x:c>
      <x:c r="BD150">
        <x:f>HYPERLINK("https://pbs.twimg.com/media/HQFx9fyXUAABBQQ.jpg")</x:f>
      </x:c>
      <x:c t="inlineStr" r="BE150">
        <x:is>
          <x:t/>
        </x:is>
      </x:c>
      <x:c t="inlineStr" r="BF150">
        <x:is>
          <x:t>Não</x:t>
        </x:is>
      </x:c>
      <x:c t="inlineStr" r="BG150"/>
      <x:c t="inlineStr" r="BH150">
        <x:is>
          <x:t/>
        </x:is>
      </x:c>
      <x:c t="inlineStr" r="BI150">
        <x:is>
          <x:t>WOM</x:t>
        </x:is>
      </x:c>
      <x:c t="inlineStr" r="BJ150"/>
      <x:c t="inlineStr" r="BK150">
        <x:is>
          <x:t>Ipiranga,Rock In Rio</x:t>
        </x:is>
      </x:c>
      <x:c t="inlineStr" r="BL150"/>
      <x:c t="inlineStr" r="BM150"/>
      <x:c t="inlineStr" r="BN150"/>
      <x:c t="inlineStr" r="BO150"/>
      <x:c t="inlineStr" r="BP150"/>
      <x:c t="inlineStr" r="BQ150"/>
      <x:c t="inlineStr" r="BR150"/>
      <x:c t="inlineStr" r="BS150"/>
      <x:c t="inlineStr" r="BT150"/>
      <x:c t="inlineStr" r="BU150"/>
      <x:c t="inlineStr" r="BV150"/>
      <x:c t="inlineStr" r="BW150"/>
      <x:c t="inlineStr" r="BX150"/>
      <x:c t="inlineStr" r="BY150"/>
      <x:c t="inlineStr" r="BZ150">
        <x:is>
          <x:t>Ipiranga</x:t>
        </x:is>
      </x:c>
      <x:c t="inlineStr" r="CA150"/>
      <x:c t="inlineStr" r="CB150"/>
      <x:c t="inlineStr" r="CC150"/>
      <x:c t="inlineStr" r="CD150"/>
      <x:c t="inlineStr" r="CE150">
        <x:is>
          <x:t>Rock In Rio</x:t>
        </x:is>
      </x:c>
      <x:c t="inlineStr" r="CF150"/>
    </x:row>
    <x:row r="151">
      <x:c t="n" r="A151">
        <x:v>2789752368</x:v>
      </x:c>
      <x:c t="inlineStr" r="B151">
        <x:is>
          <x:t>19.08.2026</x:t>
        </x:is>
      </x:c>
      <x:c t="inlineStr" r="C151">
        <x:is>
          <x:t>06:49</x:t>
        </x:is>
      </x:c>
      <x:c t="inlineStr" r="D151">
        <x:is>
          <x:t>19.08.2026 07:04</x:t>
        </x:is>
      </x:c>
      <x:c t="inlineStr" r="E151">
        <x:is>
          <x:t/>
        </x:is>
      </x:c>
      <x:c t="str" r="F151">
        <x:v>eu no aguardo do itaú fazer isso tbm
🎟️ Os ingressos para o show mais aguardado pelos fãs no Rock in Rio Brasil 2026 já estão disponíveis no app KMV. 
Resgate seu ingresso de gramado usando pontos + dinheiro e ainda ganhe R$ 100 em vale-combustível.
Faça uma Parada Completa no Posto Ipiranga: abasteça com Ipimax, passe na AmPm ou no Jet Oil e se prepare para curtir o melhor do festival.
#Ipiranga #KMV #RockinRio2026</x:v>
      </x:c>
      <x:c t="inlineStr" r="G151">
        <x:is>
          <x:t/>
        </x:is>
      </x:c>
      <x:c t="inlineStr" r="H151"/>
      <x:c t="inlineStr" r="I151">
        <x:is>
          <x:t>Repostagem estendida</x:t>
        </x:is>
      </x:c>
      <x:c t="inlineStr" r="J151">
        <x:is>
          <x:t>Imagem,Texto</x:t>
        </x:is>
      </x:c>
      <x:c t="inlineStr" r="K151"/>
      <x:c r="L151">
        <x:f>HYPERLINK("https://x.com/vantsecrett/status/2090013287253471700")</x:f>
      </x:c>
      <x:c t="inlineStr" r="M151">
        <x:is>
          <x:t>Negativo</x:t>
        </x:is>
      </x:c>
      <x:c t="inlineStr" r="N151">
        <x:is>
          <x:t>camiz</x:t>
        </x:is>
      </x:c>
      <x:c t="inlineStr" r="O151">
        <x:is>
          <x:t>vantsecrett</x:t>
        </x:is>
      </x:c>
      <x:c r="P151">
        <x:f>HYPERLINK("http://x.com/vantsecrett")</x:f>
      </x:c>
      <x:c t="n" r="Q151">
        <x:v>74</x:v>
      </x:c>
      <x:c t="inlineStr" r="R151"/>
      <x:c t="inlineStr" r="S151"/>
      <x:c t="inlineStr" r="T151">
        <x:is>
          <x:t>x.com</x:t>
        </x:is>
      </x:c>
      <x:c t="inlineStr" r="U151"/>
      <x:c t="inlineStr" r="V151"/>
      <x:c t="inlineStr" r="W151"/>
      <x:c t="inlineStr" r="X151"/>
      <x:c t="inlineStr" r="Y151">
        <x:is>
          <x:t>Rede social</x:t>
        </x:is>
      </x:c>
      <x:c t="inlineStr" r="Z151">
        <x:is>
          <x:t>Português</x:t>
        </x:is>
      </x:c>
      <x:c t="inlineStr" r="AA151"/>
      <x:c t="inlineStr" r="AB151"/>
      <x:c t="inlineStr" r="AC151"/>
      <x:c t="inlineStr" r="AD151"/>
      <x:c t="inlineStr" r="AE151"/>
      <x:c t="n" r="AF151">
        <x:v>0</x:v>
      </x:c>
      <x:c t="inlineStr" r="AG151"/>
      <x:c t="inlineStr" r="AH151"/>
      <x:c t="inlineStr" r="AI151"/>
      <x:c t="inlineStr" r="AJ151"/>
      <x:c t="inlineStr" r="AK151"/>
      <x:c t="inlineStr" r="AL151"/>
      <x:c t="inlineStr" r="AM151"/>
      <x:c t="inlineStr" r="AN151"/>
      <x:c t="inlineStr" r="AO151"/>
      <x:c t="inlineStr" r="AP151"/>
      <x:c t="n" r="AQ151">
        <x:v>24</x:v>
      </x:c>
      <x:c t="inlineStr" r="AR151"/>
      <x:c t="inlineStr" r="AS151"/>
      <x:c t="inlineStr" r="AT151"/>
      <x:c t="n" r="AU151">
        <x:v>74</x:v>
      </x:c>
      <x:c t="inlineStr" r="AV151"/>
      <x:c t="inlineStr" r="AW151">
        <x:is>
          <x:t/>
        </x:is>
      </x:c>
      <x:c t="inlineStr" r="AX151">
        <x:is>
          <x:t>text,poster</x:t>
        </x:is>
      </x:c>
      <x:c t="inlineStr" r="AY151">
        <x:is>
          <x:t/>
        </x:is>
      </x:c>
      <x:c t="inlineStr" r="AZ151">
        <x:is>
          <x:t/>
        </x:is>
      </x:c>
      <x:c t="inlineStr" r="BA151">
        <x:is>
          <x:t/>
        </x:is>
      </x:c>
      <x:c t="inlineStr" r="BB151">
        <x:is>
          <x:t>ILLUSTRATION</x:t>
        </x:is>
      </x:c>
      <x:c t="inlineStr" r="BC151">
        <x:is>
          <x:t>advertising</x:t>
        </x:is>
      </x:c>
      <x:c r="BD151">
        <x:f>HYPERLINK("https://pbs.twimg.com/media/HQBmAYHWQAAOE8H.jpg")</x:f>
      </x:c>
      <x:c t="inlineStr" r="BE151">
        <x:is>
          <x:t/>
        </x:is>
      </x:c>
      <x:c t="inlineStr" r="BF151">
        <x:is>
          <x:t>Não</x:t>
        </x:is>
      </x:c>
      <x:c t="inlineStr" r="BG151"/>
      <x:c t="inlineStr" r="BH151">
        <x:is>
          <x:t/>
        </x:is>
      </x:c>
      <x:c t="inlineStr" r="BI151">
        <x:is>
          <x:t>Giveaway</x:t>
        </x:is>
      </x:c>
      <x:c t="inlineStr" r="BJ151"/>
      <x:c t="inlineStr" r="BK151">
        <x:is>
          <x:t>Franquia - Jet Oil,Franquia - AmPm,Ipimax,Campanha: Parada Completa,Ipiranga,App KMV,Rock In Rio</x:t>
        </x:is>
      </x:c>
      <x:c t="inlineStr" r="BL151"/>
      <x:c t="inlineStr" r="BM151"/>
      <x:c t="inlineStr" r="BN151"/>
      <x:c t="inlineStr" r="BO151"/>
      <x:c t="inlineStr" r="BP151"/>
      <x:c t="inlineStr" r="BQ151"/>
      <x:c t="inlineStr" r="BR151"/>
      <x:c t="inlineStr" r="BS151"/>
      <x:c t="inlineStr" r="BT151"/>
      <x:c t="inlineStr" r="BU151"/>
      <x:c t="inlineStr" r="BV151">
        <x:is>
          <x:t>Franquia - AmPm</x:t>
        </x:is>
      </x:c>
      <x:c t="inlineStr" r="BW151">
        <x:is>
          <x:t>Ipimax</x:t>
        </x:is>
      </x:c>
      <x:c t="inlineStr" r="BX151">
        <x:is>
          <x:t>Franquia - Jet Oil</x:t>
        </x:is>
      </x:c>
      <x:c t="inlineStr" r="BY151">
        <x:is>
          <x:t>Campanha: Parada Completa</x:t>
        </x:is>
      </x:c>
      <x:c t="inlineStr" r="BZ151">
        <x:is>
          <x:t>Ipiranga</x:t>
        </x:is>
      </x:c>
      <x:c t="inlineStr" r="CA151"/>
      <x:c t="inlineStr" r="CB151"/>
      <x:c t="inlineStr" r="CC151"/>
      <x:c t="inlineStr" r="CD151">
        <x:is>
          <x:t>App KMV</x:t>
        </x:is>
      </x:c>
      <x:c t="inlineStr" r="CE151">
        <x:is>
          <x:t>Rock In Rio</x:t>
        </x:is>
      </x:c>
      <x:c t="inlineStr" r="CF151"/>
    </x:row>
    <x:row r="152">
      <x:c t="n" r="A152">
        <x:v>3473828525</x:v>
      </x:c>
      <x:c t="inlineStr" r="B152">
        <x:is>
          <x:t>18.08.2026</x:t>
        </x:is>
      </x:c>
      <x:c t="inlineStr" r="C152">
        <x:is>
          <x:t>22:30</x:t>
        </x:is>
      </x:c>
      <x:c t="inlineStr" r="D152">
        <x:is>
          <x:t>19.08.2026 23:12</x:t>
        </x:is>
      </x:c>
      <x:c t="inlineStr" r="E152">
        <x:is>
          <x:t/>
        </x:is>
      </x:c>
      <x:c t="str" r="F152">
        <x:v>Rock in Rio 2026 terá 8 mil horas de experiências de marcas, mais de 100 ativações e cerca de 1 milhão de brindes distribuídos pela Cidade do Rock 
Além das grandes experiências de marca que vão ganhar vida no festival, a edição terá cerca de 400 produtos licenciados, ampliando sua presença para além dos portões e levando o universo do Rock in Rio a fãs de todo o país
A contagem regressiva para o Rock in Rio 2026 está cada vez menor e, enquanto os fãs já planejam cada detalhe dos sete dias de festa, chegou a hora de descobrir mais uma parte do que os espera nesta edição. 
Além dos grandes shows e atrações do festival, as experiências promovidas pelas marcas parceiras e os produtos oficiais licenciados, que levam a marca do Rock in Rio para todo o país, são parte dessa expectativa. Hoje, o Rock in Rio revelou algumas das novidades que chegam para 2026 e compõem a experiência dos fãs. Ao todo, mais de 90 marcas estão presentes nesta edição, sendo 50 entre patrocinadores, media partners e apoiadores, além de 40 parceiros e marcas com operações dentro da Cidade do Rock. 
Durante os sete dias de festival, essa presença se traduz em 8 mil horas de experiências de marca e mais de 100 ativações pensadas para ampliar a jornada do público. Em outra frente, o Rock in Rio 2026 contará com cerca de 400 produtos licenciados, levando o universo do evento para além de seus portões. 
São roupas e acessórios desenvolvidos especialmente para a edição, embalagens colecionáveis que chegam às prateleiras de todo o país e até uma aeronave que levará a identidade do festival pelos céus. 
A cada ano, acompanhar as novidades que chegam com o Rock in Rio também faz parte da jornada dos fãs. É escolher o look que vai atravessar um dia inteiro de shows, encontrar aquele item que vira lembrança de uma edição inesquecível, descobrir as novidades que só existem naquele ano e levar um pouco dos momentos vividos para casa. 
Em 2026, essa presença ganha novas formas dentro da Cidade do Rock, com experiências musicais e outras que vão além da música, espaços que convidam o público a criar e registrar memórias, iniciativas conectadas ao Por Um Mundo Melhor, novos lançamentos e muitos brindes. As iniciativas estarão presentes durante os sete dias de festival, ampliando uma história que começa muito antes do primeiro show e permanece mesmo depois que as luzes dos palcos se apagam. 
“Essa conexão de construir plataformas de comunicação que começam um ano antes do festival e são coroadas durante os sete dias de evento, está no DNA do Rock in Rio desde que ele nasceu. Então por isso que esse evento de hoje é tão especial. Toda a experiência que o público vai viver aqui fora só é possível por meio dessa conexão entre marcas, ideias, criatividade e a própria experiência do público. 
E a gente vê hoje como as experiências ao vivo vêm crescendo dentro da comunicação das marcas cada vez mais. Eu acho que a Rock World foi pioneira nisso lá atrás, mas ter vocês, marcas que acreditaram na gente e que, a cada edição, contribuem para melhorar a experiência do nosso público, também traz uma responsabilidade para nós. 
Quando temos marcas líderes ao lado de um festival que é líder em sua categoria, existe o compromisso de entregar sempre mais. E a gente brinca aqui que o melhor Rock in Rio de todos os tempos é sempre o próximo. Porque nós, juntos, temos a obrigação de entregar sempre mais para o nosso consumidor, nesse casamento entre marcas, criatividade e conteúdos pensados para eles," compartilha Rodolfo Medina, vice-presidente de parcerias da Rock World. 
“O mais legal é ver como o Rock in Rio consegue fazer parte da vida das pessoas de tantas formas diferentes. A música é o que nos conecta e está sempre no centro de tudo, mas essa relação não termina quando o público sai da Cidade do Rock. 
Ela continua em uma roupa, em um acessório, em um item que a pessoa guarda de lembrança e leva para a vida. 
Quando a gente olha para tudo o que os nossos parceiros estão criando para esta edição, são segmentos e propostas muito diferentes, mas todos encontraram a sua própria maneira de traduzir o Rock in Rio. Isso mostra a força dessa conexão que construímos com as marcas e, principalmente, com os nossos fãs ao longo de mais de 40 anos”, comenta Ana Deccache, diretora de marketing da Rock World. 
Show de marcas contribui na construção da experiência do público 
Dentro da Cidade do Rock as marcas também são parte da construção da experiência que o público encontra durante os sete dias de festival. Em 2026, serão 8 mil horas de experiências de marcas, mais de 100 ativações e cerca de 1 milhão de brindes. Música, entretenimento, tecnologia, estilo, gastronomia, mobilidade, bem-estar e diversão se encontram em iniciativas pensadas para fazer parte da jornada do fã do momento em que ele atravessa os portões até o último show do dia. 
A experiência do Rock in Rio pode ser levada para casa com a linha de Produtos Oficiais reúne itens que traduzem a energia e a identidade do festival, como bonés, chaveiros, cangas e lenços, além das emblemáticas camisetas Eu Fui - peças exclusivas, disponíveis somente nas lojas físicas dentro da Cidade do Rock. Os produtos podem ser encontrados nas diversas lojas espalhadas pelo festival e também no site loja.rockinrio.com. 
A música ganha novos espaços espalhados pelo gramado. A Coca-Cola retorna com seu estande com atrações e DJs e terá entre os nomes de sua programação Ajulia Costa e JapaNK; KITKAT levará a experiência VIB, Very Important Breaker, com DJs, brindes exclusivos e possibilidade de agendamento para participar das experiências; o brinde interativo da Heineken® vai trazer para o Brasil uma experiência que já fez muito sucesso lá fora, conectada à campanha “Fãs têm mais amigos”, a iniciativa parte de um insight muito simples: a música aproxima pessoas e vai criar novas conexões entre fãs. 
A diversão vai muito além dos palcos. A Cidade do Rock se transforma em um verdadeiro parque de diversões, e alguns dos brinquedos mais aguardados pelo público ganham o patrocínio das marcas parceiras. Nesta edição, os fãs poderão aproveitar a Roda-Gigante Itaú, a Tirolesa Heineken, a Montanha-Russa iFood, o Megadownload TIM e o Superbet Discovery. 
As informações sobre os brinquedos poderão ser conferidas no aplicativo oficial do Rock in Rio, que usará a geolocalização do usuário para liberar os horários para agendamento apenas quando o fã estiver dentro da Cidade do Rock, permitindo garantir seu lugar sem precisar enfrentar filas. 
A programação de entretenimento ainda terá, todos os dias, o espetáculo inédito ECCO by LightWire, com patrocínio oficial da Vale. Antes mesmo do início do show, a experiência começa na entrada da arena, onde a Vale terá um grande túnel de LED interativo que reage à passagem do público e mistura natureza e tecnologia. 
Entre tantos shows, o look e os registros que ficam para a memória também ganham atenção. No espaço da C&amp;A, será possível customizar jaquetas e eternizar o momento com uma Glambot; a Ipiranga também prepara uma experiência fotográfica com Glambot para o público que renderá registros dignos de headliners; e a TIM, com sua nova plataforma de música, vai destravar experiências exclusivas para os fãs durante o festival. Já o iFood volta a olhar para quem acompanha os shows colado à grade, com entregas especiais e surpresas. 
A própria cenografia das ativações passa a fazer parte do cenário da Cidade do Rock. A Natura terá um estande assinado pelo arquiteto e designer Marko Brajovic, com fachada inspirada na natureza e materiais produzidos a partir de embalagens recicladas da própria marca, além de disponibilizar protetor solar no gramado.
A Lagunitas transporta o público para uma atmosfera inspirada em Santa Mônica, na Califórnia, com um espaço lúdico com karaokê, quem sempre sonhou em trocar o lugar na plateia pelo microfone poderá assumir o protagonismo e se tornar a atração da vez; a Superbet aposta em um cubo de LED próximo ao New Dance Order, com experiências sensoriais de som, fumaça e luzes; já a Trident terá um ambiente colorido e voltado à produção de registros e experiências musicais; e a Movida terá até um carro circulando pela testeira de seu estande. A memória da primeira edição também ganha espaço entre as ativações: no estande de Cif, os fãs terão a oportunidade de sujar, todos os dias, o icônico tênis de 1985. 
A edição de 2026 abre espaço para estreias. Tic Tac chega pela primeira vez ao Rock in Rio com uma ativação em que o público poderá dançar e montar seu próprio mix de sabores; Gemini utilizará inteligência artificial para transportar os fãs por diferentes edições do festival e entregar as imagens criadas como lembrança; e a Drogaria Venancio será a primeira farmácia dentro do Rock in Rio, unindo serviços para o público a uma ativação musical. 
A AXIA Energia também estreia nesta edição e, junto ao Rock in Rio, realiza a descarbonização de 100% da jornada do fã, em uma iniciativa que vai além da Cidade do Rock. Ao todo, são oito marcas participando do festival pela primeira vez este ano: TIC TAC, AXIA Energia, Drogaria Venancio, CRMBonus, Piracanjuba, Philco e Gemini. 
A mobilidade também ganha destaque entre as novidades desta edição. O novo T-Cross Rock in Rio, da Volkswagen, desenvolvido especialmente para 2026 com design e acabamentos únicos, estará disponível no evento para que o público possa conhecer o modelo de perto. 
A conexão com o Rock in Rio também ganha os céus com a LATAM, que tem uma aeronave adesivada especialmente para a edição, levando a identidade do Rock in Rio para diferentes destinos.
A música chegará à cabine, com uma ação especial a bordo que prevê um pocket show de um artista convidado. 
Assim, o caminho até o Rio de Janeiro passa a integrar essa história, aproximando dois elementos que fazem parte da jornada de milhares de pessoas que vêm viver o Rock in Rio: viagem e música. Outra marca que chega para elevar a experiência de quem vem de fora do Rio de Janeiro é a CVC, com pacotes de viagem desenvolvidos especialmente para os fãs que vão viver o festival. 
O cuidado com o fã aparece em diferentes pontos da Cidade do Rock. Prudential e Iguá copatrocinam os 168 bebedouros distribuídos pelo espaço, enquanto Doritos patrocina a operação de acessibilidade do festival e ainda levará ao público o novo produto Doritos Turbo com três sabores disponíveis. Já a Prevent Senior será patrocinadora dos postos médicos da edição. 
Na gastronomia, a Seara prepara a primeira churrascaria da Cidade do Rock, enquanto Hellmann's terá uma ação que pretende estabelecer um novo recorde de consumo de molho em eventos. 
A Nissin retorna com a experiência "CupNoodlesLândia" e um portfólio de refeições práticas e acessíveis para o público presente. Entre outros destaques previstos para setembro no setor de bebidas estão o café gelado da 3 Corações, os drinks prontis da Schweppes Mixed e o lançamento de um novo sabor de Red Bull. 
Com tanta coisa para viver, não poderiam faltar os itens que os fãs esperam levar para casa. Cerca de 1 milhão de brindes serão distribuídos ao longo da edição e, como spoiler do que o público encontrará, o Rock in Rio antecipa alguns dos itens preparados para esta edição. 
A AXIA Energia prepara ring light, corta-vento e mini câmera, enquanto a C&amp;A terá leque, shoulder bag, pin, patches e mini câmera. Cif terá óculos e pin; a Coca-Cola vai distribuir mini CDs handstrap; já o Google Gemini aposta em mini CDs; e iFood terá bottom LED de coração e mini câmera. Ipiranga prepara pochete e leque; Itaú, copo com tirante e capinha de óculos; LATAM, nécessaire; E a Nissin distribuirá shoulder bags na Área VIP. 
A variedade continua entre os itens que poderão virar lembrança desta edição. A Philco terá caixa de som, duffle bag e pin; Prevent Senior, porta-copo térmico, ventilador portátil e toalha de rosto; Prudential, carteira de mão; e Schweppes Mixed, bucket hat, shoulder bag e porta-copo. Superbet terá caixa de som, pin e shoulder bag, enquanto Tic Tac prepara pin, viseira, bucket hat e corta-vento. 
A TIM terá cordinha de celular, shoulder bag, ventosa para celular e pulseira de silicone; A DHL estará presente no festival com mini câmeras; Trident, shoulder bag e leque; Vale, nécessaire; Venancio, charm de pelúcia; a Piracanjuba distribuirá porta-garrafas com alça próprios para carregar as bebidas da marca e pins; e a Volkswagen, chega com abraça-copo de pelúcia e porta-moedas. Esses são apenas alguns dos brindes preparados para 2026, com outras surpresas que o público poderá descobrir durante os sete dias de festival. 
Com cerca de 400 produtos licenciados, o Rock in Rio 2026 reforça sua presença para além da Cidade do Rock. O público pode conhecer todas as peças no site oficial do festival 
Na moda, essa identidade ganha forma em peças pensadas tanto para os dias de festival quanto para continuar circulando antes e depois deles. A coleção oficial desenvolvida pela C&amp;A leva elementos associados à história do Rock in Rio para algumas das principais tendências contemporâneas. 
Jersey tees e jaquetas jeans com a identidade do evento aparecem revisitadas em edições limitadas, com aplicações de brilho e patches, além de novas modelagens, enquanto as camisas recebem acabamentos metalizados e referências retrô. O resultado conecta elementos reconhecíveis do festival a códigos que hoje atravessam a moda e o comportamento, transformando essa memória em algo que pode ser vestido fora da Cidade do Rock. 
Essa relação entre música, identidade e expressão também pessoal aparece nos acessórios. Já lançada, a coleção oficial da Key Design parte dessa conexão para desenvolver peças com produção própria e acabamento artesanal, tendo o aço como um dos elementos que traduzem a proposta da linha. 
A criação coloca os acessórios como parte da maneira pela qual cada pessoa expressa sua relação com a música e com os momentos vividos a partir dela. A Chilli Beans, por sua vez, já lançou sua coleção Rock in Rio 2026, reunindo modelos exclusivos construídos a partir de diferentes referências do universo musical. 
A memória do festival se transforma em objetos que acompanham o público todos os dias. A Gocase criou uma coleção oficial com estampas inspiradas no Rio de Janeiro, na Cidade do Rock e em elementos que marcaram a trajetória do evento. Cases para celular, mochilas, bolsas, totes e outros acessórios fazem parte da linha, que ainda prevê a possibilidade de personalização com o nome do consumidor em alguns modelos. 
A proposta parte justamente da memória afetiva construída pelo Rock in Rio para transformá-la em itens incorporados à rotina dos fãs. A brasilidade e a relação do festival com a cidade também inspiram a coleção da Pierim, que reúne artes com guitarras, paisagens cariocas, grafismos que remetem à tradicional calçada de Copacabana e cores vibrantes. Já a Kouda leva em suas garrafas a energia do Rock in Rio para uma coleção exclusiva e licenciada criada para acompanhar o público no dia a dia. 
O Rock in Rio 2026 também está na mesa dos brasileiros. Coca-Cola Original e Coca-Cola Zero Açúcar ganharam, para a edição de 2026, latas de 350 ml em edição especial e limitada, com um design desenvolvido a partir da atmosfera do evento. Já disponíveis no mercado, as embalagens transformam um item de consumo diário em uma lembrança física desta edição. 
A Heineken Costa Rica também entra nesse clima com embalagens celebrativas do Rock in Rio nas versões lata e long neck, que levam a identidade do festival aos produtos e reforçam a campanha “Fãs têm mais amigos”. Também já disponíveis no mercado, as embalagens levam a identidade desta edição para a rotina do público e podem se transformar em lembranças de 2026.
Na mesma conexão com os dias de festa, Piracanjuba ProForce, Bebida Proteica Oficial Apoiadora do Rock in Rio, terá os sabores licenciados Cookies e Banoffee, que já fazem parte de seu portfólio. Com 23g de proteínas e mais proteína do que carboidrato, as bebidas conectam nutrição e disposição à jornada de quem vai curtir o festival. 
Também nas prateleiras pelo país, os fãs poderão aproveitar a edição especial da embalagem do clássico KITKAT Ao Leite 41,5g, que incorpora grafismos ligados ao ritmo da música. A iniciativa leva referências visuais do universo do Rock in Rio para um produto presente no dia a dia dos consumidores e amplia, geograficamente, o contato com a edição de 2026 antes mesmo do primeiro acorde ser ouvido na Cidade do Rock. 
Trident apresenta novidades para a edição deste ano, com cinco embalagens limitadas e colecionáveis. As versões levam a plataforma “Que Se Masque” para o produto por meio de mensagens inspiradas em situações e pressões vividas pela Geração Z, com um convite para encará-las com mais leveza, liberdade e autenticidade. A iniciativa dá continuidade às edições especiais desenvolvidas para o Rock in Rio 2024 e The Town 2025. 
Das 25 edições, dez ocorreram no Brasil (1985, 1991, 2001, 2011, 2013, 2015, 2017, 2019, 2022 e 2024), onze em Portugal (2004, 2006, 2008, 2010, 2012, 2014, 2016, 2018, 2022, 2024 e 2026), três na Espanha (2008, 2010 e 2012) e uma nos Estados Unidos (2015).    
Fonte: Assessoria de imprensa - PR Rock in Rio - Approach Comunicação: Cleo Bonneterre (Assistente de atendimento); Maria Mariana Braga (Assistente de Atendimento); Jullia Bustamante (Atendimento); Marina Milhazes (Gerente) e Fabiana Guimarães (Sócia Diretora).
https://loja.rockinrio.com/
Loja Oficial Rock in Rio</x:v>
      </x:c>
      <x:c t="inlineStr" r="G152">
        <x:is>
          <x:t/>
        </x:is>
      </x:c>
      <x:c t="inlineStr" r="H152"/>
      <x:c t="inlineStr" r="I152">
        <x:is>
          <x:t>Postar</x:t>
        </x:is>
      </x:c>
      <x:c t="inlineStr" r="J152">
        <x:is>
          <x:t>Texto,Link</x:t>
        </x:is>
      </x:c>
      <x:c t="inlineStr" r="K152"/>
      <x:c r="L152">
        <x:f>HYPERLINK("https://www.facebook.com/1855901905744092")</x:f>
      </x:c>
      <x:c t="inlineStr" r="M152">
        <x:is>
          <x:t>Negativo</x:t>
        </x:is>
      </x:c>
      <x:c t="inlineStr" r="N152">
        <x:is>
          <x:t>Rock On Stage Magazine</x:t>
        </x:is>
      </x:c>
      <x:c t="inlineStr" r="O152"/>
      <x:c r="P152">
        <x:f>HYPERLINK("https://www.facebook.com/144913132230891")</x:f>
      </x:c>
      <x:c t="n" r="Q152">
        <x:v>4216</x:v>
      </x:c>
      <x:c t="inlineStr" r="R152">
        <x:is>
          <x:t>Comunidade</x:t>
        </x:is>
      </x:c>
      <x:c t="inlineStr" r="S152"/>
      <x:c t="inlineStr" r="T152">
        <x:is>
          <x:t>facebook.com</x:t>
        </x:is>
      </x:c>
      <x:c t="inlineStr" r="U152">
        <x:is>
          <x:t>Rock On Stage Magazine</x:t>
        </x:is>
      </x:c>
      <x:c r="V152">
        <x:f>HYPERLINK("https://www.facebook.com/144913132230891")</x:f>
      </x:c>
      <x:c t="n" r="W152">
        <x:v>4216</x:v>
      </x:c>
      <x:c t="inlineStr" r="X152"/>
      <x:c t="inlineStr" r="Y152">
        <x:is>
          <x:t>Rede social</x:t>
        </x:is>
      </x:c>
      <x:c t="inlineStr" r="Z152">
        <x:is>
          <x:t>Português</x:t>
        </x:is>
      </x:c>
      <x:c t="inlineStr" r="AA152">
        <x:is>
          <x:t>Brasil</x:t>
        </x:is>
      </x:c>
      <x:c t="inlineStr" r="AB152">
        <x:is>
          <x:t>São Paulo</x:t>
        </x:is>
      </x:c>
      <x:c t="inlineStr" r="AC152">
        <x:is>
          <x:t>Espírito Santo do Pinhal</x:t>
        </x:is>
      </x:c>
      <x:c t="inlineStr" r="AD152"/>
      <x:c t="inlineStr" r="AE152"/>
      <x:c t="n" r="AF152">
        <x:v>0</x:v>
      </x:c>
      <x:c t="inlineStr" r="AG152"/>
      <x:c t="inlineStr" r="AH152"/>
      <x:c t="inlineStr" r="AI152"/>
      <x:c t="inlineStr" r="AJ152"/>
      <x:c t="inlineStr" r="AK152"/>
      <x:c t="inlineStr" r="AL152"/>
      <x:c t="inlineStr" r="AM152"/>
      <x:c t="inlineStr" r="AN152"/>
      <x:c t="n" r="AO152">
        <x:v>0</x:v>
      </x:c>
      <x:c t="inlineStr" r="AP152"/>
      <x:c t="inlineStr" r="AQ152"/>
      <x:c t="inlineStr" r="AR152"/>
      <x:c t="inlineStr" r="AS152"/>
      <x:c t="inlineStr" r="AT152"/>
      <x:c t="n" r="AU152">
        <x:v>4216</x:v>
      </x:c>
      <x:c t="inlineStr" r="AV152"/>
      <x:c t="inlineStr" r="AW152"/>
      <x:c t="inlineStr" r="AX152"/>
      <x:c t="inlineStr" r="AY152"/>
      <x:c t="inlineStr" r="AZ152"/>
      <x:c t="inlineStr" r="BA152"/>
      <x:c t="inlineStr" r="BB152"/>
      <x:c t="inlineStr" r="BC152"/>
      <x:c t="inlineStr" r="BD152"/>
      <x:c t="inlineStr" r="BE152">
        <x:is>
          <x:t/>
        </x:is>
      </x:c>
      <x:c t="inlineStr" r="BF152">
        <x:is>
          <x:t>Não</x:t>
        </x:is>
      </x:c>
      <x:c t="inlineStr" r="BG152"/>
      <x:c t="inlineStr" r="BH152">
        <x:is>
          <x:t>Acontecimento</x:t>
        </x:is>
      </x:c>
      <x:c t="inlineStr" r="BI152">
        <x:is>
          <x:t/>
        </x:is>
      </x:c>
      <x:c t="inlineStr" r="BJ152"/>
      <x:c t="inlineStr" r="BK152">
        <x:is>
          <x:t>Ipiranga,App KMV,Rock In Rio</x:t>
        </x:is>
      </x:c>
      <x:c t="inlineStr" r="BL152"/>
      <x:c t="inlineStr" r="BM152"/>
      <x:c t="inlineStr" r="BN152"/>
      <x:c t="inlineStr" r="BO152"/>
      <x:c t="inlineStr" r="BP152"/>
      <x:c t="inlineStr" r="BQ152"/>
      <x:c t="inlineStr" r="BR152"/>
      <x:c t="inlineStr" r="BS152"/>
      <x:c t="inlineStr" r="BT152"/>
      <x:c t="inlineStr" r="BU152"/>
      <x:c t="inlineStr" r="BV152"/>
      <x:c t="inlineStr" r="BW152"/>
      <x:c t="inlineStr" r="BX152"/>
      <x:c t="inlineStr" r="BY152"/>
      <x:c t="inlineStr" r="BZ152">
        <x:is>
          <x:t>Ipiranga</x:t>
        </x:is>
      </x:c>
      <x:c t="inlineStr" r="CA152"/>
      <x:c t="inlineStr" r="CB152"/>
      <x:c t="inlineStr" r="CC152"/>
      <x:c t="inlineStr" r="CD152">
        <x:is>
          <x:t>App KMV</x:t>
        </x:is>
      </x:c>
      <x:c t="inlineStr" r="CE152">
        <x:is>
          <x:t>Rock In Rio</x:t>
        </x:is>
      </x:c>
      <x:c t="inlineStr" r="CF152"/>
    </x:row>
    <x:row r="153">
      <x:c t="n" r="A153">
        <x:v>2358003831</x:v>
      </x:c>
      <x:c t="inlineStr" r="B153">
        <x:is>
          <x:t>18.08.2026</x:t>
        </x:is>
      </x:c>
      <x:c t="inlineStr" r="C153">
        <x:is>
          <x:t>21:49</x:t>
        </x:is>
      </x:c>
      <x:c t="inlineStr" r="D153">
        <x:is>
          <x:t>19.08.2026 17:16</x:t>
        </x:is>
      </x:c>
      <x:c t="inlineStr" r="E153">
        <x:is>
          <x:t/>
        </x:is>
      </x:c>
      <x:c t="str" r="F153">
        <x:v>🚨 BRINDES DO ROCK IN RIO 2026! Copo do Itaú, acessórios para celular da TIM, pelúcias da Venancio, leque da Ipiranga, câmera do iFood, shoulder bag da Trident, porta-copo da Schweppes são apenas alguns exemplos! Serão 100 ativações na Cidade do Rock e você já pode organizar seus dias no festival de acordo com o brinde do seu interesse!
Faltam 17 dias para abrir os portões do @rockinrio!
#rockinrio #rockinrio2026 #brindes</x:v>
      </x:c>
      <x:c t="inlineStr" r="G153">
        <x:is>
          <x:t/>
        </x:is>
      </x:c>
      <x:c t="inlineStr" r="H153"/>
      <x:c t="inlineStr" r="I153">
        <x:is>
          <x:t>Postar</x:t>
        </x:is>
      </x:c>
      <x:c t="inlineStr" r="J153">
        <x:is>
          <x:t>Texto,Vídeo</x:t>
        </x:is>
      </x:c>
      <x:c t="inlineStr" r="K153">
        <x:is>
          <x:t>InstagramReels</x:t>
        </x:is>
      </x:c>
      <x:c r="L153">
        <x:f>HYPERLINK("https://www.instagram.com/p/DcM7WTxJgx-/")</x:f>
      </x:c>
      <x:c t="inlineStr" r="M153">
        <x:is>
          <x:t>Negativo</x:t>
        </x:is>
      </x:c>
      <x:c t="inlineStr" r="N153">
        <x:is>
          <x:t>Conexão POP</x:t>
        </x:is>
      </x:c>
      <x:c t="inlineStr" r="O153">
        <x:is>
          <x:t>siteconexaopop</x:t>
        </x:is>
      </x:c>
      <x:c r="P153">
        <x:f>HYPERLINK("http://instagram.com/siteconexaopop")</x:f>
      </x:c>
      <x:c t="n" r="Q153">
        <x:v>36454</x:v>
      </x:c>
      <x:c t="inlineStr" r="R153">
        <x:is>
          <x:t>Comunidade</x:t>
        </x:is>
      </x:c>
      <x:c t="inlineStr" r="S153"/>
      <x:c t="inlineStr" r="T153">
        <x:is>
          <x:t>instagram.com</x:t>
        </x:is>
      </x:c>
      <x:c t="inlineStr" r="U153">
        <x:is>
          <x:t>Conexão POP</x:t>
        </x:is>
      </x:c>
      <x:c r="V153">
        <x:f>HYPERLINK("http://instagram.com/siteconexaopop")</x:f>
      </x:c>
      <x:c t="n" r="W153">
        <x:v>36454</x:v>
      </x:c>
      <x:c t="inlineStr" r="X153"/>
      <x:c t="inlineStr" r="Y153">
        <x:is>
          <x:t>Rede social</x:t>
        </x:is>
      </x:c>
      <x:c t="inlineStr" r="Z153">
        <x:is>
          <x:t>Português</x:t>
        </x:is>
      </x:c>
      <x:c t="inlineStr" r="AA153"/>
      <x:c t="inlineStr" r="AB153"/>
      <x:c t="inlineStr" r="AC153"/>
      <x:c t="inlineStr" r="AD153"/>
      <x:c t="n" r="AE153">
        <x:v>105</x:v>
      </x:c>
      <x:c t="n" r="AF153">
        <x:v>110</x:v>
      </x:c>
      <x:c t="n" r="AG153">
        <x:v>105</x:v>
      </x:c>
      <x:c t="inlineStr" r="AH153"/>
      <x:c t="inlineStr" r="AI153"/>
      <x:c t="inlineStr" r="AJ153"/>
      <x:c t="inlineStr" r="AK153"/>
      <x:c t="inlineStr" r="AL153"/>
      <x:c t="inlineStr" r="AM153"/>
      <x:c t="inlineStr" r="AN153"/>
      <x:c t="n" r="AO153">
        <x:v>5</x:v>
      </x:c>
      <x:c t="inlineStr" r="AP153"/>
      <x:c t="n" r="AQ153">
        <x:v>3348</x:v>
      </x:c>
      <x:c t="inlineStr" r="AR153"/>
      <x:c t="inlineStr" r="AS153"/>
      <x:c t="inlineStr" r="AT153"/>
      <x:c t="n" r="AU153">
        <x:v>36454</x:v>
      </x:c>
      <x:c t="inlineStr" r="AV153"/>
      <x:c t="inlineStr" r="AW153">
        <x:is>
          <x:t>DHL,CocaCola</x:t>
        </x:is>
      </x:c>
      <x:c t="inlineStr" r="AX153">
        <x:is>
          <x:t>text,bag,emblem</x:t>
        </x:is>
      </x:c>
      <x:c t="inlineStr" r="AY153"/>
      <x:c t="inlineStr" r="AZ153"/>
      <x:c t="inlineStr" r="BA153"/>
      <x:c t="inlineStr" r="BB153">
        <x:is>
          <x:t>ILLUSTRATION</x:t>
        </x:is>
      </x:c>
      <x:c t="inlineStr" r="BC153"/>
      <x:c t="inlineStr" r="BD153">
        <x:is>
          <x:t>https://scontent-xxc1-1.cdninstagram.com/v/t51.82787-15/777898913_18427321888182285_237600882391583544_n.jpg?stp=dst-jpg_e15_tt6&amp;_nc_cat=105&amp;ig_cache_key=Mzk2NjgwNjM4OTYwNDg3OTQ4NjE4NDI3MzIxODgyMTgyMjg1.3-ccb7-5&amp;ccb=7-5&amp;_nc_sid=58cdad&amp;efg=eyJ2ZW5jb2RlX3RhZyI6IkNMSVBTLnhwaWRzLjcyMC5zZHIudmlkZW9fZGVmYXVsdF9jb3Zlcl9mcmFtZS5DMyJ9&amp;_nc_ohc=pjQcSeST8FEQ7kNvwFfOr3V&amp;_nc_oc=AdqvgAiinHwZOqWumAmjghnleAq9c-7Gvzh5A8Gr1eUoHJMH-lvcgjko-OrhKrxGtVM&amp;_nc_ad=z-m&amp;_nc_cid=0&amp;_nc_zt=23&amp;_nc_ht=scontent-xxc1-1.cdninstagram.com&amp;_nc_gid=SJK8Kwl4WsIygFgn7uZoxw&amp;_nc_ss=7a22e&amp;oh=00_AQFmdVyHFPlOtBiPd94E4YvAvXo2p3eex4kbIJ0mmGdLFA&amp;oe=6A8B3989</x:t>
        </x:is>
      </x:c>
      <x:c t="inlineStr" r="BE153">
        <x:is>
          <x:t/>
        </x:is>
      </x:c>
      <x:c t="inlineStr" r="BF153">
        <x:is>
          <x:t>Não</x:t>
        </x:is>
      </x:c>
      <x:c t="inlineStr" r="BG153"/>
      <x:c t="inlineStr" r="BH153">
        <x:is>
          <x:t/>
        </x:is>
      </x:c>
      <x:c t="inlineStr" r="BI153">
        <x:is>
          <x:t>Promoção</x:t>
        </x:is>
      </x:c>
      <x:c t="inlineStr" r="BJ153"/>
      <x:c t="inlineStr" r="BK153">
        <x:is>
          <x:t>Ipiranga,Rock In Rio</x:t>
        </x:is>
      </x:c>
      <x:c t="inlineStr" r="BL153"/>
      <x:c t="inlineStr" r="BM153"/>
      <x:c t="inlineStr" r="BN153"/>
      <x:c t="inlineStr" r="BO153"/>
      <x:c t="inlineStr" r="BP153"/>
      <x:c t="inlineStr" r="BQ153"/>
      <x:c t="inlineStr" r="BR153"/>
      <x:c t="inlineStr" r="BS153"/>
      <x:c t="inlineStr" r="BT153"/>
      <x:c t="inlineStr" r="BU153"/>
      <x:c t="inlineStr" r="BV153"/>
      <x:c t="inlineStr" r="BW153"/>
      <x:c t="inlineStr" r="BX153"/>
      <x:c t="inlineStr" r="BY153"/>
      <x:c t="inlineStr" r="BZ153">
        <x:is>
          <x:t>Ipiranga</x:t>
        </x:is>
      </x:c>
      <x:c t="inlineStr" r="CA153"/>
      <x:c t="inlineStr" r="CB153"/>
      <x:c t="inlineStr" r="CC153"/>
      <x:c t="inlineStr" r="CD153"/>
      <x:c t="inlineStr" r="CE153">
        <x:is>
          <x:t>Rock In Rio</x:t>
        </x:is>
      </x:c>
      <x:c t="inlineStr" r="CF153"/>
    </x:row>
    <x:row r="154">
      <x:c t="n" r="A154">
        <x:v>2672311752</x:v>
      </x:c>
      <x:c t="inlineStr" r="B154">
        <x:is>
          <x:t>18.08.2026</x:t>
        </x:is>
      </x:c>
      <x:c t="inlineStr" r="C154">
        <x:is>
          <x:t>21:21</x:t>
        </x:is>
      </x:c>
      <x:c t="inlineStr" r="D154">
        <x:is>
          <x:t>18.08.2026 23:25</x:t>
        </x:is>
      </x:c>
      <x:c t="inlineStr" r="E154">
        <x:is>
          <x:t/>
        </x:is>
      </x:c>
      <x:c t="str" r="F154">
        <x:v>🎸 VOCÊ TEM PONTOS KMV PARADOS? TALVEZ ELES POSSAM TE LEVAR PRO rockinrio! 🤘🔥
E não estou falando só do ingresso… 👀
Estou falando do transfer para ir e voltar ao festival! 🚌 🎡
Olha o passo a passo:
1️⃣ Abra o app KMV da ipiranga 
2️⃣ Entre na área de benefícios/resgates ou nas bolinhas lá em cima 
3️⃣ Procure pela opção do Rock in Rio 🎸
4️⃣ Selecione o benefício referente ao transfer
5️⃣ Escolha o seu dia/horário, quando essa opção estiver disponível
6️⃣ Confirme o resgate usando seus pontos KMV
7️⃣ Pronto! Agora é só conferir as informações do seu transfer e se preparar para o Rock! 🤘🎡🔥
🚨 Leia a FAQ de dúvidas frequentes para entender se o local de embarque te atende ✅ (trarei outras opções) 
⚠️ A disponibilidade pode variar conforme estoque e condições da campanha.
E já faz o seguinte:
📲 Segue thamilhas porque eu vou continuar mostrando como transformar pontos que muita gente deixa parados em experiências de verdade.
ENCAMINHA esse Reels para todo mundo que vai pro Rock in Rio! 🎸🔥🎡 
A pessoa pode ter os pontos necessários e nem saber disso. 👀
#rockinrio #riodejaneiro #kmv #pontos #ipiranga</x:v>
      </x:c>
      <x:c t="inlineStr" r="G154">
        <x:is>
          <x:t/>
        </x:is>
      </x:c>
      <x:c t="inlineStr" r="H154"/>
      <x:c t="inlineStr" r="I154">
        <x:is>
          <x:t>Postar</x:t>
        </x:is>
      </x:c>
      <x:c t="inlineStr" r="J154">
        <x:is>
          <x:t>Texto,Vídeo</x:t>
        </x:is>
      </x:c>
      <x:c t="inlineStr" r="K154">
        <x:is>
          <x:t>InstagramReels</x:t>
        </x:is>
      </x:c>
      <x:c r="L154">
        <x:f>HYPERLINK("https://www.instagram.com/reel/DcM4piAgZgY/")</x:f>
      </x:c>
      <x:c t="inlineStr" r="M154">
        <x:is>
          <x:t>Negativo</x:t>
        </x:is>
      </x:c>
      <x:c t="inlineStr" r="N154">
        <x:is>
          <x:t>Thamyres Pinheiro ✈ Milhas • Viagens • Networking 🚀</x:t>
        </x:is>
      </x:c>
      <x:c t="inlineStr" r="O154">
        <x:is>
          <x:t>thamilhass</x:t>
        </x:is>
      </x:c>
      <x:c r="P154">
        <x:f>HYPERLINK("https://www.instagram.com/thamilhass/")</x:f>
      </x:c>
      <x:c t="n" r="Q154">
        <x:v>31476</x:v>
      </x:c>
      <x:c t="inlineStr" r="R154">
        <x:is>
          <x:t>Mulher</x:t>
        </x:is>
      </x:c>
      <x:c t="inlineStr" r="S154"/>
      <x:c t="inlineStr" r="T154">
        <x:is>
          <x:t>instagram.com</x:t>
        </x:is>
      </x:c>
      <x:c t="inlineStr" r="U154">
        <x:is>
          <x:t>Thamyres Pinheiro ✈ Milhas • Viagens • Networking 🚀</x:t>
        </x:is>
      </x:c>
      <x:c r="V154">
        <x:f>HYPERLINK("https://www.instagram.com/thamilhass/")</x:f>
      </x:c>
      <x:c t="n" r="W154">
        <x:v>31476</x:v>
      </x:c>
      <x:c t="inlineStr" r="X154"/>
      <x:c t="inlineStr" r="Y154">
        <x:is>
          <x:t>Rede social</x:t>
        </x:is>
      </x:c>
      <x:c t="inlineStr" r="Z154">
        <x:is>
          <x:t>Português</x:t>
        </x:is>
      </x:c>
      <x:c t="inlineStr" r="AA154"/>
      <x:c t="inlineStr" r="AB154"/>
      <x:c t="inlineStr" r="AC154"/>
      <x:c t="inlineStr" r="AD154"/>
      <x:c t="n" r="AE154">
        <x:v>12</x:v>
      </x:c>
      <x:c t="n" r="AF154">
        <x:v>17</x:v>
      </x:c>
      <x:c t="n" r="AG154">
        <x:v>12</x:v>
      </x:c>
      <x:c t="inlineStr" r="AH154"/>
      <x:c t="inlineStr" r="AI154"/>
      <x:c t="inlineStr" r="AJ154"/>
      <x:c t="inlineStr" r="AK154"/>
      <x:c t="inlineStr" r="AL154"/>
      <x:c t="inlineStr" r="AM154"/>
      <x:c t="inlineStr" r="AN154"/>
      <x:c t="n" r="AO154">
        <x:v>0</x:v>
      </x:c>
      <x:c t="n" r="AP154">
        <x:v>5</x:v>
      </x:c>
      <x:c t="n" r="AQ154">
        <x:v>790</x:v>
      </x:c>
      <x:c t="inlineStr" r="AR154"/>
      <x:c t="inlineStr" r="AS154"/>
      <x:c t="inlineStr" r="AT154"/>
      <x:c t="n" r="AU154">
        <x:v>31476</x:v>
      </x:c>
      <x:c t="inlineStr" r="AV154"/>
      <x:c t="inlineStr" r="AW154"/>
      <x:c t="inlineStr" r="AX154"/>
      <x:c t="inlineStr" r="AY154"/>
      <x:c t="inlineStr" r="AZ154"/>
      <x:c t="inlineStr" r="BA154"/>
      <x:c t="inlineStr" r="BB154"/>
      <x:c t="inlineStr" r="BC154"/>
      <x:c t="inlineStr" r="BD154"/>
      <x:c t="inlineStr" r="BE154">
        <x:is>
          <x:t/>
        </x:is>
      </x:c>
      <x:c t="inlineStr" r="BF154">
        <x:is>
          <x:t>Não</x:t>
        </x:is>
      </x:c>
      <x:c t="inlineStr" r="BG154"/>
      <x:c t="inlineStr" r="BH154">
        <x:is>
          <x:t/>
        </x:is>
      </x:c>
      <x:c t="inlineStr" r="BI154">
        <x:is>
          <x:t>Promoção</x:t>
        </x:is>
      </x:c>
      <x:c t="inlineStr" r="BJ154"/>
      <x:c t="inlineStr" r="BK154">
        <x:is>
          <x:t>Ipiranga,App KMV,Rock In Rio</x:t>
        </x:is>
      </x:c>
      <x:c t="inlineStr" r="BL154"/>
      <x:c t="inlineStr" r="BM154"/>
      <x:c t="inlineStr" r="BN154"/>
      <x:c t="inlineStr" r="BO154"/>
      <x:c t="inlineStr" r="BP154"/>
      <x:c t="inlineStr" r="BQ154"/>
      <x:c t="inlineStr" r="BR154"/>
      <x:c t="inlineStr" r="BS154"/>
      <x:c t="inlineStr" r="BT154"/>
      <x:c t="inlineStr" r="BU154"/>
      <x:c t="inlineStr" r="BV154"/>
      <x:c t="inlineStr" r="BW154"/>
      <x:c t="inlineStr" r="BX154"/>
      <x:c t="inlineStr" r="BY154"/>
      <x:c t="inlineStr" r="BZ154">
        <x:is>
          <x:t>Ipiranga</x:t>
        </x:is>
      </x:c>
      <x:c t="inlineStr" r="CA154"/>
      <x:c t="inlineStr" r="CB154"/>
      <x:c t="inlineStr" r="CC154"/>
      <x:c t="inlineStr" r="CD154">
        <x:is>
          <x:t>App KMV</x:t>
        </x:is>
      </x:c>
      <x:c t="inlineStr" r="CE154">
        <x:is>
          <x:t>Rock In Rio</x:t>
        </x:is>
      </x:c>
      <x:c t="inlineStr" r="CF154"/>
    </x:row>
    <x:row r="155">
      <x:c t="n" r="A155">
        <x:v>4247094514</x:v>
      </x:c>
      <x:c t="inlineStr" r="B155">
        <x:is>
          <x:t>18.08.2026</x:t>
        </x:is>
      </x:c>
      <x:c t="inlineStr" r="C155">
        <x:is>
          <x:t>21:16</x:t>
        </x:is>
      </x:c>
      <x:c t="inlineStr" r="D155">
        <x:is>
          <x:t>18.08.2026 23:24</x:t>
        </x:is>
      </x:c>
      <x:c t="inlineStr" r="E155">
        <x:is>
          <x:t/>
        </x:is>
      </x:c>
      <x:c t="str" r="F155">
        <x:v>🎸 VOCÊ TEM PONTOS KMV PARADOS? TALVEZ ELES POSSAM TE LEVAR PRO rockinrio! 🤘🔥
E não estou falando só do ingresso… 👀
Estou falando do transfer para ir e voltar ao festival! 🚌 🎡
Olha o passo a passo:
1️⃣ Abra o app KMV da ipiranga 
2️⃣ Entre na área de benefícios/resgates ou nas bolinhas lá em cima 
3️⃣ Procure pela opção do Rock in Rio 🎸
4️⃣ Selecione o benefício referente ao transfer
5️⃣ Escolha o seu dia/horário, quando essa opção estiver disponível
6️⃣ Confirme o resgate usando seus pontos KMV
7️⃣ Pronto! Agora é só conferir as informações do seu transfer e se preparar para o Rock! 🤘🎡🔥
🚨 Leia a FAQ de dúvidas frequentes para entender se o local de embarque te atende ✅ (trarei outras opções) 
⚠️ A disponibilidade pode variar conforme estoque e condições da campanha.
E já faz o seguinte:
📲 Segue thamilhas porque eu vou continuar mostrando como transformar pontos que muita gente deixa parados em experiências de verdade.
ENCAMINHA esse Reels para todo mundo que vai pro Rock in Rio! 🎸🔥🎡 
A pessoa pode ter os pontos necessários e nem saber disso. 👀
#rockinrio #riodejaneiro #kmv #pontos #ipiranga</x:v>
      </x:c>
      <x:c t="inlineStr" r="G155">
        <x:is>
          <x:t/>
        </x:is>
      </x:c>
      <x:c t="inlineStr" r="H155"/>
      <x:c t="inlineStr" r="I155">
        <x:is>
          <x:t>Postar</x:t>
        </x:is>
      </x:c>
      <x:c t="inlineStr" r="J155">
        <x:is>
          <x:t>Texto,Vídeo</x:t>
        </x:is>
      </x:c>
      <x:c t="inlineStr" r="K155">
        <x:is>
          <x:t>InstagramReels</x:t>
        </x:is>
      </x:c>
      <x:c r="L155">
        <x:f>HYPERLINK("https://www.instagram.com/reel/DcM3NVdgVii/")</x:f>
      </x:c>
      <x:c t="inlineStr" r="M155">
        <x:is>
          <x:t>Negativo</x:t>
        </x:is>
      </x:c>
      <x:c t="inlineStr" r="N155">
        <x:is>
          <x:t>Thamyres Pinheiro ✈ Milhas • Viagens • Networking 🚀</x:t>
        </x:is>
      </x:c>
      <x:c t="inlineStr" r="O155">
        <x:is>
          <x:t>thamilhass</x:t>
        </x:is>
      </x:c>
      <x:c r="P155">
        <x:f>HYPERLINK("https://www.instagram.com/thamilhass/")</x:f>
      </x:c>
      <x:c t="n" r="Q155">
        <x:v>31476</x:v>
      </x:c>
      <x:c t="inlineStr" r="R155">
        <x:is>
          <x:t>Mulher</x:t>
        </x:is>
      </x:c>
      <x:c t="inlineStr" r="S155"/>
      <x:c t="inlineStr" r="T155">
        <x:is>
          <x:t>instagram.com</x:t>
        </x:is>
      </x:c>
      <x:c t="inlineStr" r="U155">
        <x:is>
          <x:t>Thamyres Pinheiro ✈ Milhas • Viagens • Networking 🚀</x:t>
        </x:is>
      </x:c>
      <x:c r="V155">
        <x:f>HYPERLINK("https://www.instagram.com/thamilhass/")</x:f>
      </x:c>
      <x:c t="n" r="W155">
        <x:v>31476</x:v>
      </x:c>
      <x:c t="inlineStr" r="X155"/>
      <x:c t="inlineStr" r="Y155">
        <x:is>
          <x:t>Rede social</x:t>
        </x:is>
      </x:c>
      <x:c t="inlineStr" r="Z155">
        <x:is>
          <x:t>Português</x:t>
        </x:is>
      </x:c>
      <x:c t="inlineStr" r="AA155"/>
      <x:c t="inlineStr" r="AB155"/>
      <x:c t="inlineStr" r="AC155"/>
      <x:c t="inlineStr" r="AD155"/>
      <x:c t="n" r="AE155">
        <x:v>125</x:v>
      </x:c>
      <x:c t="n" r="AF155">
        <x:v>212</x:v>
      </x:c>
      <x:c t="n" r="AG155">
        <x:v>125</x:v>
      </x:c>
      <x:c t="inlineStr" r="AH155"/>
      <x:c t="inlineStr" r="AI155"/>
      <x:c t="inlineStr" r="AJ155"/>
      <x:c t="inlineStr" r="AK155"/>
      <x:c t="inlineStr" r="AL155"/>
      <x:c t="inlineStr" r="AM155"/>
      <x:c t="inlineStr" r="AN155"/>
      <x:c t="n" r="AO155">
        <x:v>14</x:v>
      </x:c>
      <x:c t="n" r="AP155">
        <x:v>73</x:v>
      </x:c>
      <x:c t="n" r="AQ155">
        <x:v>5430</x:v>
      </x:c>
      <x:c t="inlineStr" r="AR155"/>
      <x:c t="inlineStr" r="AS155"/>
      <x:c t="inlineStr" r="AT155"/>
      <x:c t="n" r="AU155">
        <x:v>31476</x:v>
      </x:c>
      <x:c t="inlineStr" r="AV155"/>
      <x:c t="inlineStr" r="AW155"/>
      <x:c t="inlineStr" r="AX155"/>
      <x:c t="inlineStr" r="AY155"/>
      <x:c t="inlineStr" r="AZ155"/>
      <x:c t="inlineStr" r="BA155"/>
      <x:c t="inlineStr" r="BB155"/>
      <x:c t="inlineStr" r="BC155"/>
      <x:c t="inlineStr" r="BD155"/>
      <x:c t="inlineStr" r="BE155">
        <x:is>
          <x:t/>
        </x:is>
      </x:c>
      <x:c t="inlineStr" r="BF155">
        <x:is>
          <x:t>Não</x:t>
        </x:is>
      </x:c>
      <x:c t="inlineStr" r="BG155"/>
      <x:c t="inlineStr" r="BH155">
        <x:is>
          <x:t/>
        </x:is>
      </x:c>
      <x:c t="inlineStr" r="BI155">
        <x:is>
          <x:t>Promoção</x:t>
        </x:is>
      </x:c>
      <x:c t="inlineStr" r="BJ155"/>
      <x:c t="inlineStr" r="BK155">
        <x:is>
          <x:t>Ipiranga,App KMV,Rock In Rio</x:t>
        </x:is>
      </x:c>
      <x:c t="inlineStr" r="BL155"/>
      <x:c t="inlineStr" r="BM155"/>
      <x:c t="inlineStr" r="BN155"/>
      <x:c t="inlineStr" r="BO155"/>
      <x:c t="inlineStr" r="BP155"/>
      <x:c t="inlineStr" r="BQ155"/>
      <x:c t="inlineStr" r="BR155"/>
      <x:c t="inlineStr" r="BS155"/>
      <x:c t="inlineStr" r="BT155"/>
      <x:c t="inlineStr" r="BU155"/>
      <x:c t="inlineStr" r="BV155"/>
      <x:c t="inlineStr" r="BW155"/>
      <x:c t="inlineStr" r="BX155"/>
      <x:c t="inlineStr" r="BY155"/>
      <x:c t="inlineStr" r="BZ155">
        <x:is>
          <x:t>Ipiranga</x:t>
        </x:is>
      </x:c>
      <x:c t="inlineStr" r="CA155"/>
      <x:c t="inlineStr" r="CB155"/>
      <x:c t="inlineStr" r="CC155"/>
      <x:c t="inlineStr" r="CD155">
        <x:is>
          <x:t>App KMV</x:t>
        </x:is>
      </x:c>
      <x:c t="inlineStr" r="CE155">
        <x:is>
          <x:t>Rock In Rio</x:t>
        </x:is>
      </x:c>
      <x:c t="inlineStr" r="CF155"/>
    </x:row>
    <x:row r="156">
      <x:c t="n" r="A156">
        <x:v>1310123683</x:v>
      </x:c>
      <x:c t="inlineStr" r="B156">
        <x:is>
          <x:t>18.08.2026</x:t>
        </x:is>
      </x:c>
      <x:c t="inlineStr" r="C156">
        <x:is>
          <x:t>20:23</x:t>
        </x:is>
      </x:c>
      <x:c t="inlineStr" r="D156">
        <x:is>
          <x:t>21.08.2026 07:00</x:t>
        </x:is>
      </x:c>
      <x:c t="inlineStr" r="E156">
        <x:is>
          <x:t/>
        </x:is>
      </x:c>
      <x:c t="str" r="F156">
        <x:v>eu em 2024 implorando pra encontrar o cesar ramos
@rockinrio E vai ter leque! TRÁ 🪭
O @ipiranga traz de brindes leques e pochetes pro Rock in Rio.</x:v>
      </x:c>
      <x:c t="inlineStr" r="G156">
        <x:is>
          <x:t/>
        </x:is>
      </x:c>
      <x:c t="inlineStr" r="H156"/>
      <x:c t="inlineStr" r="I156">
        <x:is>
          <x:t>Repostagem estendida</x:t>
        </x:is>
      </x:c>
      <x:c t="inlineStr" r="J156">
        <x:is>
          <x:t>Imagem,Texto</x:t>
        </x:is>
      </x:c>
      <x:c t="inlineStr" r="K156"/>
      <x:c r="L156">
        <x:f>HYPERLINK("https://x.com/grahmwellsy/status/2089855679901184349")</x:f>
      </x:c>
      <x:c t="inlineStr" r="M156">
        <x:is>
          <x:t>Negativo</x:t>
        </x:is>
      </x:c>
      <x:c t="inlineStr" r="N156">
        <x:is>
          <x:t>gabs donzela</x:t>
        </x:is>
      </x:c>
      <x:c t="inlineStr" r="O156">
        <x:is>
          <x:t>grahmwellsy</x:t>
        </x:is>
      </x:c>
      <x:c r="P156">
        <x:f>HYPERLINK("http://x.com/grahmwellsy")</x:f>
      </x:c>
      <x:c t="n" r="Q156">
        <x:v>1668</x:v>
      </x:c>
      <x:c t="inlineStr" r="R156"/>
      <x:c t="inlineStr" r="S156"/>
      <x:c t="inlineStr" r="T156">
        <x:is>
          <x:t>x.com</x:t>
        </x:is>
      </x:c>
      <x:c t="inlineStr" r="U156"/>
      <x:c t="inlineStr" r="V156"/>
      <x:c t="inlineStr" r="W156"/>
      <x:c t="inlineStr" r="X156"/>
      <x:c t="inlineStr" r="Y156">
        <x:is>
          <x:t>Rede social</x:t>
        </x:is>
      </x:c>
      <x:c t="inlineStr" r="Z156">
        <x:is>
          <x:t>Português</x:t>
        </x:is>
      </x:c>
      <x:c t="inlineStr" r="AA156">
        <x:is>
          <x:t>Brasil</x:t>
        </x:is>
      </x:c>
      <x:c t="inlineStr" r="AB156"/>
      <x:c t="inlineStr" r="AC156"/>
      <x:c t="inlineStr" r="AD156"/>
      <x:c t="inlineStr" r="AE156"/>
      <x:c t="n" r="AF156">
        <x:v>0</x:v>
      </x:c>
      <x:c t="inlineStr" r="AG156"/>
      <x:c t="inlineStr" r="AH156"/>
      <x:c t="inlineStr" r="AI156"/>
      <x:c t="inlineStr" r="AJ156"/>
      <x:c t="inlineStr" r="AK156"/>
      <x:c t="inlineStr" r="AL156"/>
      <x:c t="inlineStr" r="AM156"/>
      <x:c t="inlineStr" r="AN156"/>
      <x:c t="inlineStr" r="AO156"/>
      <x:c t="inlineStr" r="AP156"/>
      <x:c t="n" r="AQ156">
        <x:v>125</x:v>
      </x:c>
      <x:c t="inlineStr" r="AR156"/>
      <x:c t="inlineStr" r="AS156"/>
      <x:c t="inlineStr" r="AT156"/>
      <x:c t="n" r="AU156">
        <x:v>1668</x:v>
      </x:c>
      <x:c t="inlineStr" r="AV156"/>
      <x:c t="inlineStr" r="AW156">
        <x:is>
          <x:t/>
        </x:is>
      </x:c>
      <x:c t="inlineStr" r="AX156">
        <x:is>
          <x:t/>
        </x:is>
      </x:c>
      <x:c t="inlineStr" r="AY156">
        <x:is>
          <x:t/>
        </x:is>
      </x:c>
      <x:c t="inlineStr" r="AZ156">
        <x:is>
          <x:t/>
        </x:is>
      </x:c>
      <x:c t="inlineStr" r="BA156">
        <x:is>
          <x:t/>
        </x:is>
      </x:c>
      <x:c t="inlineStr" r="BB156">
        <x:is>
          <x:t>PHOTO</x:t>
        </x:is>
      </x:c>
      <x:c t="inlineStr" r="BC156"/>
      <x:c r="BD156">
        <x:f>HYPERLINK("https://pbs.twimg.com/media/HQCTfjaXUAAyy3u.jpg")</x:f>
      </x:c>
      <x:c t="inlineStr" r="BE156">
        <x:is>
          <x:t/>
        </x:is>
      </x:c>
      <x:c t="inlineStr" r="BF156">
        <x:is>
          <x:t>Não</x:t>
        </x:is>
      </x:c>
      <x:c t="inlineStr" r="BG156"/>
      <x:c t="inlineStr" r="BH156">
        <x:is>
          <x:t/>
        </x:is>
      </x:c>
      <x:c t="inlineStr" r="BI156">
        <x:is>
          <x:t>WOM</x:t>
        </x:is>
      </x:c>
      <x:c t="inlineStr" r="BJ156"/>
      <x:c t="inlineStr" r="BK156">
        <x:is>
          <x:t>Ipiranga,Rock In Rio</x:t>
        </x:is>
      </x:c>
      <x:c t="inlineStr" r="BL156"/>
      <x:c t="inlineStr" r="BM156"/>
      <x:c t="inlineStr" r="BN156"/>
      <x:c t="inlineStr" r="BO156"/>
      <x:c t="inlineStr" r="BP156"/>
      <x:c t="inlineStr" r="BQ156"/>
      <x:c t="inlineStr" r="BR156"/>
      <x:c t="inlineStr" r="BS156"/>
      <x:c t="inlineStr" r="BT156"/>
      <x:c t="inlineStr" r="BU156"/>
      <x:c t="inlineStr" r="BV156"/>
      <x:c t="inlineStr" r="BW156"/>
      <x:c t="inlineStr" r="BX156"/>
      <x:c t="inlineStr" r="BY156"/>
      <x:c t="inlineStr" r="BZ156">
        <x:is>
          <x:t>Ipiranga</x:t>
        </x:is>
      </x:c>
      <x:c t="inlineStr" r="CA156"/>
      <x:c t="inlineStr" r="CB156"/>
      <x:c t="inlineStr" r="CC156"/>
      <x:c t="inlineStr" r="CD156"/>
      <x:c t="inlineStr" r="CE156">
        <x:is>
          <x:t>Rock In Rio</x:t>
        </x:is>
      </x:c>
      <x:c t="inlineStr" r="CF156"/>
    </x:row>
    <x:row r="157">
      <x:c t="n" r="A157">
        <x:v>3716390501</x:v>
      </x:c>
      <x:c t="inlineStr" r="B157">
        <x:is>
          <x:t>18.08.2026</x:t>
        </x:is>
      </x:c>
      <x:c t="inlineStr" r="C157">
        <x:is>
          <x:t>19:29</x:t>
        </x:is>
      </x:c>
      <x:c t="inlineStr" r="D157">
        <x:is>
          <x:t>21.08.2026 11:22</x:t>
        </x:is>
      </x:c>
      <x:c t="inlineStr" r="E157">
        <x:is>
          <x:t/>
        </x:is>
      </x:c>
      <x:c t="str" r="F157">
        <x:v>🎟️ Os ingressos para o show mais aguardado pelos fãs no Rock in Rio Brasil 2026 já estão disponíveis no app KMV. 
Resgate seu ingresso de gramado usando pontos + dinheiro e ainda ganhe R$ 100 em vale-combustível.
Faça uma Parada Completa no Posto Ipiranga: abasteça com Ipimax, passe na AmPm ou no Jet Oil e se prepare para curtir o melhor do festival.
#Ipiranga #KMV #RockinRio2026</x:v>
      </x:c>
      <x:c t="inlineStr" r="G157">
        <x:is>
          <x:t/>
        </x:is>
      </x:c>
      <x:c t="inlineStr" r="H157"/>
      <x:c t="inlineStr" r="I157">
        <x:is>
          <x:t>Repost</x:t>
        </x:is>
      </x:c>
      <x:c t="inlineStr" r="J157">
        <x:is>
          <x:t>Imagem,Texto</x:t>
        </x:is>
      </x:c>
      <x:c t="inlineStr" r="K157"/>
      <x:c r="L157">
        <x:f>HYPERLINK("https://x.com/overcompesate/status/2089842045066133844")</x:f>
      </x:c>
      <x:c t="inlineStr" r="M157">
        <x:is>
          <x:t>Negativo</x:t>
        </x:is>
      </x:c>
      <x:c t="inlineStr" r="N157">
        <x:is>
          <x:t>gabs ⊬ breach</x:t>
        </x:is>
      </x:c>
      <x:c t="inlineStr" r="O157">
        <x:is>
          <x:t>overcompesate</x:t>
        </x:is>
      </x:c>
      <x:c r="P157">
        <x:f>HYPERLINK("http://x.com/overcompesate")</x:f>
      </x:c>
      <x:c t="n" r="Q157">
        <x:v>3872</x:v>
      </x:c>
      <x:c t="inlineStr" r="R157"/>
      <x:c t="inlineStr" r="S157"/>
      <x:c t="inlineStr" r="T157">
        <x:is>
          <x:t>x.com</x:t>
        </x:is>
      </x:c>
      <x:c t="inlineStr" r="U157"/>
      <x:c t="inlineStr" r="V157"/>
      <x:c t="inlineStr" r="W157"/>
      <x:c t="inlineStr" r="X157"/>
      <x:c t="inlineStr" r="Y157">
        <x:is>
          <x:t>Rede social</x:t>
        </x:is>
      </x:c>
      <x:c t="inlineStr" r="Z157">
        <x:is>
          <x:t>Português</x:t>
        </x:is>
      </x:c>
      <x:c t="inlineStr" r="AA157">
        <x:is>
          <x:t>Brasil</x:t>
        </x:is>
      </x:c>
      <x:c t="inlineStr" r="AB157"/>
      <x:c t="inlineStr" r="AC157"/>
      <x:c t="inlineStr" r="AD157"/>
      <x:c t="inlineStr" r="AE157"/>
      <x:c t="n" r="AF157">
        <x:v>0</x:v>
      </x:c>
      <x:c t="inlineStr" r="AG157"/>
      <x:c t="inlineStr" r="AH157"/>
      <x:c t="inlineStr" r="AI157"/>
      <x:c t="inlineStr" r="AJ157"/>
      <x:c t="inlineStr" r="AK157"/>
      <x:c t="inlineStr" r="AL157"/>
      <x:c t="inlineStr" r="AM157"/>
      <x:c t="inlineStr" r="AN157"/>
      <x:c t="inlineStr" r="AO157"/>
      <x:c t="inlineStr" r="AP157"/>
      <x:c t="inlineStr" r="AQ157"/>
      <x:c t="inlineStr" r="AR157"/>
      <x:c t="inlineStr" r="AS157"/>
      <x:c t="inlineStr" r="AT157"/>
      <x:c t="n" r="AU157">
        <x:v>3872</x:v>
      </x:c>
      <x:c t="inlineStr" r="AV157"/>
      <x:c t="inlineStr" r="AW157">
        <x:is>
          <x:t>Nike</x:t>
        </x:is>
      </x:c>
      <x:c t="inlineStr" r="AX157">
        <x:is>
          <x:t>text,poster</x:t>
        </x:is>
      </x:c>
      <x:c t="inlineStr" r="AY157">
        <x:is>
          <x:t/>
        </x:is>
      </x:c>
      <x:c t="inlineStr" r="AZ157">
        <x:is>
          <x:t/>
        </x:is>
      </x:c>
      <x:c t="inlineStr" r="BA157">
        <x:is>
          <x:t/>
        </x:is>
      </x:c>
      <x:c t="inlineStr" r="BB157">
        <x:is>
          <x:t>ILLUSTRATION</x:t>
        </x:is>
      </x:c>
      <x:c t="inlineStr" r="BC157">
        <x:is>
          <x:t>advertising</x:t>
        </x:is>
      </x:c>
      <x:c r="BD157">
        <x:f>HYPERLINK("https://pbs.twimg.com/media/HQBmAYHWQAAOE8H.jpg")</x:f>
      </x:c>
      <x:c t="inlineStr" r="BE157">
        <x:is>
          <x:t/>
        </x:is>
      </x:c>
      <x:c t="inlineStr" r="BF157">
        <x:is>
          <x:t>Não</x:t>
        </x:is>
      </x:c>
      <x:c t="inlineStr" r="BG157"/>
      <x:c t="inlineStr" r="BH157">
        <x:is>
          <x:t/>
        </x:is>
      </x:c>
      <x:c t="inlineStr" r="BI157">
        <x:is>
          <x:t>Giveaway</x:t>
        </x:is>
      </x:c>
      <x:c t="inlineStr" r="BJ157"/>
      <x:c t="inlineStr" r="BK157">
        <x:is>
          <x:t>Franquia - Jet Oil,Franquia - AmPm,Ipimax,Campanha: Parada Completa,Ipiranga,App KMV,Rock In Rio</x:t>
        </x:is>
      </x:c>
      <x:c t="inlineStr" r="BL157"/>
      <x:c t="inlineStr" r="BM157"/>
      <x:c t="inlineStr" r="BN157"/>
      <x:c t="inlineStr" r="BO157"/>
      <x:c t="inlineStr" r="BP157"/>
      <x:c t="inlineStr" r="BQ157"/>
      <x:c t="inlineStr" r="BR157"/>
      <x:c t="inlineStr" r="BS157"/>
      <x:c t="inlineStr" r="BT157"/>
      <x:c t="inlineStr" r="BU157"/>
      <x:c t="inlineStr" r="BV157">
        <x:is>
          <x:t>Franquia - AmPm</x:t>
        </x:is>
      </x:c>
      <x:c t="inlineStr" r="BW157">
        <x:is>
          <x:t>Ipimax</x:t>
        </x:is>
      </x:c>
      <x:c t="inlineStr" r="BX157">
        <x:is>
          <x:t>Franquia - Jet Oil</x:t>
        </x:is>
      </x:c>
      <x:c t="inlineStr" r="BY157">
        <x:is>
          <x:t>Campanha: Parada Completa</x:t>
        </x:is>
      </x:c>
      <x:c t="inlineStr" r="BZ157">
        <x:is>
          <x:t>Ipiranga</x:t>
        </x:is>
      </x:c>
      <x:c t="inlineStr" r="CA157"/>
      <x:c t="inlineStr" r="CB157"/>
      <x:c t="inlineStr" r="CC157"/>
      <x:c t="inlineStr" r="CD157">
        <x:is>
          <x:t>App KMV</x:t>
        </x:is>
      </x:c>
      <x:c t="inlineStr" r="CE157">
        <x:is>
          <x:t>Rock In Rio</x:t>
        </x:is>
      </x:c>
      <x:c t="inlineStr" r="CF157"/>
    </x:row>
    <x:row r="158">
      <x:c t="n" r="A158">
        <x:v>2166280101</x:v>
      </x:c>
      <x:c t="inlineStr" r="B158">
        <x:is>
          <x:t>18.08.2026</x:t>
        </x:is>
      </x:c>
      <x:c t="inlineStr" r="C158">
        <x:is>
          <x:t>18:53</x:t>
        </x:is>
      </x:c>
      <x:c t="inlineStr" r="D158">
        <x:is>
          <x:t>20.08.2026 22:17</x:t>
        </x:is>
      </x:c>
      <x:c t="inlineStr" r="E158">
        <x:is>
          <x:t/>
        </x:is>
      </x:c>
      <x:c t="str" r="F158">
        <x:v>🎟️ Os ingressos para o show mais aguardado pelos fãs no Rock in Rio Brasil 2026 já estão disponíveis no app KMV. 
Resgate seu ingresso de gramado usando pontos + dinheiro e ainda ganhe R$ 100 em vale-combustível.
Faça uma Parada Completa no Posto Ipiranga: abasteça com Ipimax, passe na AmPm ou no Jet Oil e se prepare para curtir o melhor do festival.
#Ipiranga #KMV #RockinRio2026</x:v>
      </x:c>
      <x:c t="inlineStr" r="G158">
        <x:is>
          <x:t/>
        </x:is>
      </x:c>
      <x:c t="inlineStr" r="H158"/>
      <x:c t="inlineStr" r="I158">
        <x:is>
          <x:t>Repost</x:t>
        </x:is>
      </x:c>
      <x:c t="inlineStr" r="J158">
        <x:is>
          <x:t>Imagem,Texto</x:t>
        </x:is>
      </x:c>
      <x:c t="inlineStr" r="K158"/>
      <x:c r="L158">
        <x:f>HYPERLINK("https://x.com/tir3dandbor3d/status/2089833059172717027")</x:f>
      </x:c>
      <x:c t="inlineStr" r="M158">
        <x:is>
          <x:t>Negativo</x:t>
        </x:is>
      </x:c>
      <x:c t="inlineStr" r="N158">
        <x:is>
          <x:t>V • • Quiet is Violent</x:t>
        </x:is>
      </x:c>
      <x:c t="inlineStr" r="O158">
        <x:is>
          <x:t>tir3dandbor3d</x:t>
        </x:is>
      </x:c>
      <x:c r="P158">
        <x:f>HYPERLINK("http://x.com/tir3dandbor3d")</x:f>
      </x:c>
      <x:c t="n" r="Q158">
        <x:v>177</x:v>
      </x:c>
      <x:c t="inlineStr" r="R158"/>
      <x:c t="inlineStr" r="S158"/>
      <x:c t="inlineStr" r="T158">
        <x:is>
          <x:t>x.com</x:t>
        </x:is>
      </x:c>
      <x:c t="inlineStr" r="U158"/>
      <x:c t="inlineStr" r="V158"/>
      <x:c t="inlineStr" r="W158"/>
      <x:c t="inlineStr" r="X158"/>
      <x:c t="inlineStr" r="Y158">
        <x:is>
          <x:t>Rede social</x:t>
        </x:is>
      </x:c>
      <x:c t="inlineStr" r="Z158">
        <x:is>
          <x:t>Português</x:t>
        </x:is>
      </x:c>
      <x:c t="inlineStr" r="AA158">
        <x:is>
          <x:t>Brasil</x:t>
        </x:is>
      </x:c>
      <x:c t="inlineStr" r="AB158">
        <x:is>
          <x:t>Ceará</x:t>
        </x:is>
      </x:c>
      <x:c t="inlineStr" r="AC158">
        <x:is>
          <x:t>Km 27</x:t>
        </x:is>
      </x:c>
      <x:c t="inlineStr" r="AD158"/>
      <x:c t="inlineStr" r="AE158"/>
      <x:c t="n" r="AF158">
        <x:v>0</x:v>
      </x:c>
      <x:c t="inlineStr" r="AG158"/>
      <x:c t="inlineStr" r="AH158"/>
      <x:c t="inlineStr" r="AI158"/>
      <x:c t="inlineStr" r="AJ158"/>
      <x:c t="inlineStr" r="AK158"/>
      <x:c t="inlineStr" r="AL158"/>
      <x:c t="inlineStr" r="AM158"/>
      <x:c t="inlineStr" r="AN158"/>
      <x:c t="inlineStr" r="AO158"/>
      <x:c t="inlineStr" r="AP158"/>
      <x:c t="inlineStr" r="AQ158"/>
      <x:c t="inlineStr" r="AR158"/>
      <x:c t="inlineStr" r="AS158"/>
      <x:c t="inlineStr" r="AT158"/>
      <x:c t="n" r="AU158">
        <x:v>177</x:v>
      </x:c>
      <x:c t="inlineStr" r="AV158"/>
      <x:c t="inlineStr" r="AW158">
        <x:is>
          <x:t>Nike</x:t>
        </x:is>
      </x:c>
      <x:c t="inlineStr" r="AX158">
        <x:is>
          <x:t>text,poster</x:t>
        </x:is>
      </x:c>
      <x:c t="inlineStr" r="AY158">
        <x:is>
          <x:t/>
        </x:is>
      </x:c>
      <x:c t="inlineStr" r="AZ158">
        <x:is>
          <x:t/>
        </x:is>
      </x:c>
      <x:c t="inlineStr" r="BA158">
        <x:is>
          <x:t/>
        </x:is>
      </x:c>
      <x:c t="inlineStr" r="BB158">
        <x:is>
          <x:t>ILLUSTRATION</x:t>
        </x:is>
      </x:c>
      <x:c t="inlineStr" r="BC158">
        <x:is>
          <x:t>advertising</x:t>
        </x:is>
      </x:c>
      <x:c r="BD158">
        <x:f>HYPERLINK("https://pbs.twimg.com/media/HQBmAYHWQAAOE8H.jpg")</x:f>
      </x:c>
      <x:c t="inlineStr" r="BE158">
        <x:is>
          <x:t/>
        </x:is>
      </x:c>
      <x:c t="inlineStr" r="BF158">
        <x:is>
          <x:t>Não</x:t>
        </x:is>
      </x:c>
      <x:c t="inlineStr" r="BG158"/>
      <x:c t="inlineStr" r="BH158">
        <x:is>
          <x:t/>
        </x:is>
      </x:c>
      <x:c t="inlineStr" r="BI158">
        <x:is>
          <x:t>Giveaway</x:t>
        </x:is>
      </x:c>
      <x:c t="inlineStr" r="BJ158"/>
      <x:c t="inlineStr" r="BK158">
        <x:is>
          <x:t>Franquia - Jet Oil,Franquia - AmPm,Ipimax,Campanha: Parada Completa,Ipiranga,App KMV,Rock In Rio</x:t>
        </x:is>
      </x:c>
      <x:c t="inlineStr" r="BL158"/>
      <x:c t="inlineStr" r="BM158"/>
      <x:c t="inlineStr" r="BN158"/>
      <x:c t="inlineStr" r="BO158"/>
      <x:c t="inlineStr" r="BP158"/>
      <x:c t="inlineStr" r="BQ158"/>
      <x:c t="inlineStr" r="BR158"/>
      <x:c t="inlineStr" r="BS158"/>
      <x:c t="inlineStr" r="BT158"/>
      <x:c t="inlineStr" r="BU158"/>
      <x:c t="inlineStr" r="BV158">
        <x:is>
          <x:t>Franquia - AmPm</x:t>
        </x:is>
      </x:c>
      <x:c t="inlineStr" r="BW158">
        <x:is>
          <x:t>Ipimax</x:t>
        </x:is>
      </x:c>
      <x:c t="inlineStr" r="BX158">
        <x:is>
          <x:t>Franquia - Jet Oil</x:t>
        </x:is>
      </x:c>
      <x:c t="inlineStr" r="BY158">
        <x:is>
          <x:t>Campanha: Parada Completa</x:t>
        </x:is>
      </x:c>
      <x:c t="inlineStr" r="BZ158">
        <x:is>
          <x:t>Ipiranga</x:t>
        </x:is>
      </x:c>
      <x:c t="inlineStr" r="CA158"/>
      <x:c t="inlineStr" r="CB158"/>
      <x:c t="inlineStr" r="CC158"/>
      <x:c t="inlineStr" r="CD158">
        <x:is>
          <x:t>App KMV</x:t>
        </x:is>
      </x:c>
      <x:c t="inlineStr" r="CE158">
        <x:is>
          <x:t>Rock In Rio</x:t>
        </x:is>
      </x:c>
      <x:c t="inlineStr" r="CF158"/>
    </x:row>
    <x:row r="159">
      <x:c t="n" r="A159">
        <x:v>2627851708</x:v>
      </x:c>
      <x:c t="inlineStr" r="B159">
        <x:is>
          <x:t>18.08.2026</x:t>
        </x:is>
      </x:c>
      <x:c t="inlineStr" r="C159">
        <x:is>
          <x:t>18:18</x:t>
        </x:is>
      </x:c>
      <x:c t="inlineStr" r="D159">
        <x:is>
          <x:t>20.08.2026 00:04</x:t>
        </x:is>
      </x:c>
      <x:c t="inlineStr" r="E159">
        <x:is>
          <x:t/>
        </x:is>
      </x:c>
      <x:c t="str" r="F159">
        <x:v>O show do seu coração está mais perto do que você imagina: é só abrir o app KMV.
🎟️ Resgate seu ingresso para o Rock In Rio Brasil 2026usando seus pontos + dinheiro e ganhe R$ 100 em vale-combustível. 
#Ipiranga #KMV #RockinRio2026</x:v>
      </x:c>
      <x:c t="inlineStr" r="G159">
        <x:is>
          <x:t/>
        </x:is>
      </x:c>
      <x:c t="inlineStr" r="H159"/>
      <x:c t="inlineStr" r="I159">
        <x:is>
          <x:t>Repost</x:t>
        </x:is>
      </x:c>
      <x:c t="inlineStr" r="J159">
        <x:is>
          <x:t>Imagem,Texto</x:t>
        </x:is>
      </x:c>
      <x:c t="inlineStr" r="K159"/>
      <x:c r="L159">
        <x:f>HYPERLINK("https://x.com/vicmanequim/status/2089824305609953438")</x:f>
      </x:c>
      <x:c t="inlineStr" r="M159">
        <x:is>
          <x:t>Negativo</x:t>
        </x:is>
      </x:c>
      <x:c t="inlineStr" r="N159">
        <x:is>
          <x:t>João Vitor</x:t>
        </x:is>
      </x:c>
      <x:c t="inlineStr" r="O159">
        <x:is>
          <x:t>vicmanequim</x:t>
        </x:is>
      </x:c>
      <x:c r="P159">
        <x:f>HYPERLINK("http://x.com/vicmanequim")</x:f>
      </x:c>
      <x:c t="n" r="Q159">
        <x:v>2066</x:v>
      </x:c>
      <x:c t="inlineStr" r="R159">
        <x:is>
          <x:t>Homem</x:t>
        </x:is>
      </x:c>
      <x:c t="inlineStr" r="S159"/>
      <x:c t="inlineStr" r="T159">
        <x:is>
          <x:t>x.com</x:t>
        </x:is>
      </x:c>
      <x:c t="inlineStr" r="U159"/>
      <x:c t="inlineStr" r="V159"/>
      <x:c t="inlineStr" r="W159"/>
      <x:c t="inlineStr" r="X159"/>
      <x:c t="inlineStr" r="Y159">
        <x:is>
          <x:t>Rede social</x:t>
        </x:is>
      </x:c>
      <x:c t="inlineStr" r="Z159">
        <x:is>
          <x:t>Português</x:t>
        </x:is>
      </x:c>
      <x:c t="inlineStr" r="AA159">
        <x:is>
          <x:t>Brasil</x:t>
        </x:is>
      </x:c>
      <x:c t="inlineStr" r="AB159">
        <x:is>
          <x:t>São Paulo</x:t>
        </x:is>
      </x:c>
      <x:c t="inlineStr" r="AC159"/>
      <x:c t="inlineStr" r="AD159"/>
      <x:c t="inlineStr" r="AE159"/>
      <x:c t="n" r="AF159">
        <x:v>0</x:v>
      </x:c>
      <x:c t="inlineStr" r="AG159"/>
      <x:c t="inlineStr" r="AH159"/>
      <x:c t="inlineStr" r="AI159"/>
      <x:c t="inlineStr" r="AJ159"/>
      <x:c t="inlineStr" r="AK159"/>
      <x:c t="inlineStr" r="AL159"/>
      <x:c t="inlineStr" r="AM159"/>
      <x:c t="inlineStr" r="AN159"/>
      <x:c t="inlineStr" r="AO159"/>
      <x:c t="inlineStr" r="AP159"/>
      <x:c t="inlineStr" r="AQ159"/>
      <x:c t="inlineStr" r="AR159"/>
      <x:c t="inlineStr" r="AS159"/>
      <x:c t="inlineStr" r="AT159"/>
      <x:c t="n" r="AU159">
        <x:v>2066</x:v>
      </x:c>
      <x:c t="inlineStr" r="AV159"/>
      <x:c t="inlineStr" r="AW159">
        <x:is>
          <x:t>Ipiranga</x:t>
        </x:is>
      </x:c>
      <x:c t="inlineStr" r="AX159">
        <x:is>
          <x:t>text,poster</x:t>
        </x:is>
      </x:c>
      <x:c t="inlineStr" r="AY159">
        <x:is>
          <x:t/>
        </x:is>
      </x:c>
      <x:c t="inlineStr" r="AZ159">
        <x:is>
          <x:t/>
        </x:is>
      </x:c>
      <x:c t="inlineStr" r="BA159">
        <x:is>
          <x:t/>
        </x:is>
      </x:c>
      <x:c t="inlineStr" r="BB159">
        <x:is>
          <x:t>ILLUSTRATION</x:t>
        </x:is>
      </x:c>
      <x:c t="inlineStr" r="BC159">
        <x:is>
          <x:t>advertising</x:t>
        </x:is>
      </x:c>
      <x:c r="BD159">
        <x:f>HYPERLINK("https://pbs.twimg.com/media/HQB-rmJWMAAN7Dl.jpg")</x:f>
      </x:c>
      <x:c t="inlineStr" r="BE159">
        <x:is>
          <x:t/>
        </x:is>
      </x:c>
      <x:c t="inlineStr" r="BF159">
        <x:is>
          <x:t>Não</x:t>
        </x:is>
      </x:c>
      <x:c t="inlineStr" r="BG159"/>
      <x:c t="inlineStr" r="BH159">
        <x:is>
          <x:t/>
        </x:is>
      </x:c>
      <x:c t="inlineStr" r="BI159">
        <x:is>
          <x:t>Giveaway</x:t>
        </x:is>
      </x:c>
      <x:c t="inlineStr" r="BJ159"/>
      <x:c t="inlineStr" r="BK159">
        <x:is>
          <x:t>Ipiranga,App KMV,Rock In Rio</x:t>
        </x:is>
      </x:c>
      <x:c t="inlineStr" r="BL159"/>
      <x:c t="inlineStr" r="BM159"/>
      <x:c t="inlineStr" r="BN159"/>
      <x:c t="inlineStr" r="BO159"/>
      <x:c t="inlineStr" r="BP159"/>
      <x:c t="inlineStr" r="BQ159"/>
      <x:c t="inlineStr" r="BR159"/>
      <x:c t="inlineStr" r="BS159"/>
      <x:c t="inlineStr" r="BT159"/>
      <x:c t="inlineStr" r="BU159"/>
      <x:c t="inlineStr" r="BV159"/>
      <x:c t="inlineStr" r="BW159"/>
      <x:c t="inlineStr" r="BX159"/>
      <x:c t="inlineStr" r="BY159"/>
      <x:c t="inlineStr" r="BZ159">
        <x:is>
          <x:t>Ipiranga</x:t>
        </x:is>
      </x:c>
      <x:c t="inlineStr" r="CA159"/>
      <x:c t="inlineStr" r="CB159"/>
      <x:c t="inlineStr" r="CC159"/>
      <x:c t="inlineStr" r="CD159">
        <x:is>
          <x:t>App KMV</x:t>
        </x:is>
      </x:c>
      <x:c t="inlineStr" r="CE159">
        <x:is>
          <x:t>Rock In Rio</x:t>
        </x:is>
      </x:c>
      <x:c t="inlineStr" r="CF159"/>
    </x:row>
    <x:row r="160">
      <x:c t="n" r="A160">
        <x:v>1128333196</x:v>
      </x:c>
      <x:c t="inlineStr" r="B160">
        <x:is>
          <x:t>18.08.2026</x:t>
        </x:is>
      </x:c>
      <x:c t="inlineStr" r="C160">
        <x:is>
          <x:t>17:53</x:t>
        </x:is>
      </x:c>
      <x:c t="inlineStr" r="D160">
        <x:is>
          <x:t>18.08.2026 19:18</x:t>
        </x:is>
      </x:c>
      <x:c t="inlineStr" r="E160">
        <x:is>
          <x:t/>
        </x:is>
      </x:c>
      <x:c t="str" r="F160">
        <x:v>BRINDES DO ROCK IN RIO 2026
cea_brasil - Mini câmera, pins e leques
itau - Copo, tirante, capa de óculos
timbrasil - Ventosa para celular, cordinhas e pulseiras colecionáveis por dia
philcobrasil - Caixa de som, pins e bag
tictacbrasil - Pin, viseira, bucket e corta-vento
valenobrasil - Necesserie
ipiranga - Pochete e leques
drogariavenancio - Charms de Pelucia
ifoodbrasil - Corações e mini cameras
vwbrasil - caixa de som e pelucia
cif.limpadores - Oculos e pin
preventsenior - ventilador portátil e squeezer
googlegemini - foto
prudentialdobrasil - mini carteira
cocacola_br cocacolaandina_br - mini carteira
dhlbrasil - mini camera
Qual foi o seu brinde favorito? Conta aqui nos comentários 
#rockinrio #rj #brindes #brindesrockinrio</x:v>
      </x:c>
      <x:c t="inlineStr" r="G160">
        <x:is>
          <x:t/>
        </x:is>
      </x:c>
      <x:c t="inlineStr" r="H160"/>
      <x:c t="inlineStr" r="I160">
        <x:is>
          <x:t>Postar</x:t>
        </x:is>
      </x:c>
      <x:c t="inlineStr" r="J160">
        <x:is>
          <x:t>Texto,Vídeo</x:t>
        </x:is>
      </x:c>
      <x:c t="inlineStr" r="K160">
        <x:is>
          <x:t>InstagramReels</x:t>
        </x:is>
      </x:c>
      <x:c r="L160">
        <x:f>HYPERLINK("https://www.instagram.com/reel/DcMgyMAhFu_/")</x:f>
      </x:c>
      <x:c t="inlineStr" r="M160">
        <x:is>
          <x:t>Negativo</x:t>
        </x:is>
      </x:c>
      <x:c t="inlineStr" r="N160">
        <x:is>
          <x:t>Marcos Reguete | Pelo Rio e Pelo Mundo</x:t>
        </x:is>
      </x:c>
      <x:c t="inlineStr" r="O160">
        <x:is>
          <x:t>pelorioepelomundo</x:t>
        </x:is>
      </x:c>
      <x:c r="P160">
        <x:f>HYPERLINK("https://www.instagram.com/pelorioepelomundo/")</x:f>
      </x:c>
      <x:c t="n" r="Q160">
        <x:v>107872</x:v>
      </x:c>
      <x:c t="inlineStr" r="R160">
        <x:is>
          <x:t>Homem</x:t>
        </x:is>
      </x:c>
      <x:c t="inlineStr" r="S160"/>
      <x:c t="inlineStr" r="T160">
        <x:is>
          <x:t>instagram.com</x:t>
        </x:is>
      </x:c>
      <x:c t="inlineStr" r="U160">
        <x:is>
          <x:t>Marcos Reguete | Pelo Rio e Pelo Mundo</x:t>
        </x:is>
      </x:c>
      <x:c r="V160">
        <x:f>HYPERLINK("https://www.instagram.com/pelorioepelomundo/")</x:f>
      </x:c>
      <x:c t="n" r="W160">
        <x:v>107872</x:v>
      </x:c>
      <x:c t="inlineStr" r="X160"/>
      <x:c t="inlineStr" r="Y160">
        <x:is>
          <x:t>Rede social</x:t>
        </x:is>
      </x:c>
      <x:c t="inlineStr" r="Z160">
        <x:is>
          <x:t>Português</x:t>
        </x:is>
      </x:c>
      <x:c t="inlineStr" r="AA160"/>
      <x:c t="inlineStr" r="AB160"/>
      <x:c t="inlineStr" r="AC160"/>
      <x:c t="inlineStr" r="AD160"/>
      <x:c t="n" r="AE160">
        <x:v>23333</x:v>
      </x:c>
      <x:c t="n" r="AF160">
        <x:v>51919</x:v>
      </x:c>
      <x:c t="n" r="AG160">
        <x:v>23333</x:v>
      </x:c>
      <x:c t="inlineStr" r="AH160"/>
      <x:c t="inlineStr" r="AI160"/>
      <x:c t="inlineStr" r="AJ160"/>
      <x:c t="inlineStr" r="AK160"/>
      <x:c t="inlineStr" r="AL160"/>
      <x:c t="inlineStr" r="AM160"/>
      <x:c t="inlineStr" r="AN160"/>
      <x:c t="n" r="AO160">
        <x:v>457</x:v>
      </x:c>
      <x:c t="n" r="AP160">
        <x:v>28129</x:v>
      </x:c>
      <x:c t="n" r="AQ160">
        <x:v>380765</x:v>
      </x:c>
      <x:c t="inlineStr" r="AR160"/>
      <x:c t="inlineStr" r="AS160"/>
      <x:c t="inlineStr" r="AT160"/>
      <x:c t="n" r="AU160">
        <x:v>107872</x:v>
      </x:c>
      <x:c t="inlineStr" r="AV160"/>
      <x:c t="inlineStr" r="AW160"/>
      <x:c t="inlineStr" r="AX160"/>
      <x:c t="inlineStr" r="AY160"/>
      <x:c t="inlineStr" r="AZ160"/>
      <x:c t="inlineStr" r="BA160"/>
      <x:c t="inlineStr" r="BB160"/>
      <x:c t="inlineStr" r="BC160"/>
      <x:c t="inlineStr" r="BD160"/>
      <x:c t="inlineStr" r="BE160">
        <x:is>
          <x:t/>
        </x:is>
      </x:c>
      <x:c t="inlineStr" r="BF160">
        <x:is>
          <x:t>Não</x:t>
        </x:is>
      </x:c>
      <x:c t="inlineStr" r="BG160"/>
      <x:c t="inlineStr" r="BH160">
        <x:is>
          <x:t/>
        </x:is>
      </x:c>
      <x:c t="inlineStr" r="BI160">
        <x:is>
          <x:t>Lista</x:t>
        </x:is>
      </x:c>
      <x:c t="inlineStr" r="BJ160"/>
      <x:c t="inlineStr" r="BK160">
        <x:is>
          <x:t>Ipiranga,Rock In Rio</x:t>
        </x:is>
      </x:c>
      <x:c t="inlineStr" r="BL160"/>
      <x:c t="inlineStr" r="BM160"/>
      <x:c t="inlineStr" r="BN160"/>
      <x:c t="inlineStr" r="BO160"/>
      <x:c t="inlineStr" r="BP160"/>
      <x:c t="inlineStr" r="BQ160"/>
      <x:c t="inlineStr" r="BR160"/>
      <x:c t="inlineStr" r="BS160"/>
      <x:c t="inlineStr" r="BT160"/>
      <x:c t="inlineStr" r="BU160"/>
      <x:c t="inlineStr" r="BV160"/>
      <x:c t="inlineStr" r="BW160"/>
      <x:c t="inlineStr" r="BX160"/>
      <x:c t="inlineStr" r="BY160"/>
      <x:c t="inlineStr" r="BZ160">
        <x:is>
          <x:t>Ipiranga</x:t>
        </x:is>
      </x:c>
      <x:c t="inlineStr" r="CA160"/>
      <x:c t="inlineStr" r="CB160"/>
      <x:c t="inlineStr" r="CC160"/>
      <x:c t="inlineStr" r="CD160"/>
      <x:c t="inlineStr" r="CE160">
        <x:is>
          <x:t>Rock In Rio</x:t>
        </x:is>
      </x:c>
      <x:c t="inlineStr" r="CF160"/>
    </x:row>
    <x:row r="161">
      <x:c t="n" r="A161">
        <x:v>3047518783</x:v>
      </x:c>
      <x:c t="inlineStr" r="B161">
        <x:is>
          <x:t>18.08.2026</x:t>
        </x:is>
      </x:c>
      <x:c t="inlineStr" r="C161">
        <x:is>
          <x:t>17:19</x:t>
        </x:is>
      </x:c>
      <x:c t="inlineStr" r="D161">
        <x:is>
          <x:t>21.08.2026 11:37</x:t>
        </x:is>
      </x:c>
      <x:c t="inlineStr" r="E161">
        <x:is>
          <x:t/>
        </x:is>
      </x:c>
      <x:c t="str" r="F161">
        <x:v>O show do seu coração está mais perto do que você imagina: é só abrir o app KMV.
🎟️ Resgate seu ingresso para o Rock In Rio Brasil 2026usando seus pontos + dinheiro e ganhe R$ 100 em vale-combustível. 
#Ipiranga #KMV #RockinRio2026</x:v>
      </x:c>
      <x:c t="inlineStr" r="G161">
        <x:is>
          <x:t/>
        </x:is>
      </x:c>
      <x:c t="inlineStr" r="H161"/>
      <x:c t="inlineStr" r="I161">
        <x:is>
          <x:t>Postar</x:t>
        </x:is>
      </x:c>
      <x:c t="inlineStr" r="J161">
        <x:is>
          <x:t>Imagem,Texto</x:t>
        </x:is>
      </x:c>
      <x:c t="inlineStr" r="K161"/>
      <x:c r="L161">
        <x:f>HYPERLINK("https://x.com/missluisasonza/status/2089809520403046447")</x:f>
      </x:c>
      <x:c t="inlineStr" r="M161">
        <x:is>
          <x:t>Negativo</x:t>
        </x:is>
      </x:c>
      <x:c t="inlineStr" r="N161">
        <x:is>
          <x:t>MLS</x:t>
        </x:is>
      </x:c>
      <x:c t="inlineStr" r="O161">
        <x:is>
          <x:t>missluisasonza</x:t>
        </x:is>
      </x:c>
      <x:c r="P161">
        <x:f>HYPERLINK("http://x.com/missluisasonza")</x:f>
      </x:c>
      <x:c t="n" r="Q161">
        <x:v>770</x:v>
      </x:c>
      <x:c t="inlineStr" r="R161"/>
      <x:c t="inlineStr" r="S161"/>
      <x:c t="inlineStr" r="T161">
        <x:is>
          <x:t>x.com</x:t>
        </x:is>
      </x:c>
      <x:c t="inlineStr" r="U161"/>
      <x:c t="inlineStr" r="V161"/>
      <x:c t="inlineStr" r="W161"/>
      <x:c t="inlineStr" r="X161"/>
      <x:c t="inlineStr" r="Y161">
        <x:is>
          <x:t>Rede social</x:t>
        </x:is>
      </x:c>
      <x:c t="inlineStr" r="Z161">
        <x:is>
          <x:t>Português</x:t>
        </x:is>
      </x:c>
      <x:c t="inlineStr" r="AA161">
        <x:is>
          <x:t>Brasil</x:t>
        </x:is>
      </x:c>
      <x:c t="inlineStr" r="AB161">
        <x:is>
          <x:t>São Paulo</x:t>
        </x:is>
      </x:c>
      <x:c t="inlineStr" r="AC161"/>
      <x:c t="inlineStr" r="AD161"/>
      <x:c t="n" r="AE161">
        <x:v>8</x:v>
      </x:c>
      <x:c t="n" r="AF161">
        <x:v>13</x:v>
      </x:c>
      <x:c t="n" r="AG161">
        <x:v>8</x:v>
      </x:c>
      <x:c t="inlineStr" r="AH161"/>
      <x:c t="inlineStr" r="AI161"/>
      <x:c t="inlineStr" r="AJ161"/>
      <x:c t="inlineStr" r="AK161"/>
      <x:c t="inlineStr" r="AL161"/>
      <x:c t="inlineStr" r="AM161"/>
      <x:c t="inlineStr" r="AN161"/>
      <x:c t="n" r="AO161">
        <x:v>2</x:v>
      </x:c>
      <x:c t="n" r="AP161">
        <x:v>3</x:v>
      </x:c>
      <x:c t="n" r="AQ161">
        <x:v>360</x:v>
      </x:c>
      <x:c t="inlineStr" r="AR161"/>
      <x:c t="inlineStr" r="AS161"/>
      <x:c t="inlineStr" r="AT161"/>
      <x:c t="n" r="AU161">
        <x:v>770</x:v>
      </x:c>
      <x:c t="inlineStr" r="AV161"/>
      <x:c t="inlineStr" r="AW161">
        <x:is>
          <x:t>Ipiranga</x:t>
        </x:is>
      </x:c>
      <x:c t="inlineStr" r="AX161">
        <x:is>
          <x:t>text,poster</x:t>
        </x:is>
      </x:c>
      <x:c t="inlineStr" r="AY161">
        <x:is>
          <x:t/>
        </x:is>
      </x:c>
      <x:c t="inlineStr" r="AZ161">
        <x:is>
          <x:t/>
        </x:is>
      </x:c>
      <x:c t="inlineStr" r="BA161">
        <x:is>
          <x:t/>
        </x:is>
      </x:c>
      <x:c t="inlineStr" r="BB161">
        <x:is>
          <x:t>ILLUSTRATION</x:t>
        </x:is>
      </x:c>
      <x:c t="inlineStr" r="BC161">
        <x:is>
          <x:t>advertising</x:t>
        </x:is>
      </x:c>
      <x:c r="BD161">
        <x:f>HYPERLINK("https://pbs.twimg.com/media/HQB-rmJWMAAN7Dl.jpg")</x:f>
      </x:c>
      <x:c t="inlineStr" r="BE161">
        <x:is>
          <x:t/>
        </x:is>
      </x:c>
      <x:c t="inlineStr" r="BF161">
        <x:is>
          <x:t>Não</x:t>
        </x:is>
      </x:c>
      <x:c t="inlineStr" r="BG161"/>
      <x:c t="inlineStr" r="BH161">
        <x:is>
          <x:t/>
        </x:is>
      </x:c>
      <x:c t="inlineStr" r="BI161">
        <x:is>
          <x:t>Giveaway,Promoção</x:t>
        </x:is>
      </x:c>
      <x:c t="inlineStr" r="BJ161"/>
      <x:c t="inlineStr" r="BK161">
        <x:is>
          <x:t>Ipiranga,App KMV,Rock In Rio</x:t>
        </x:is>
      </x:c>
      <x:c t="inlineStr" r="BL161"/>
      <x:c t="inlineStr" r="BM161"/>
      <x:c t="inlineStr" r="BN161"/>
      <x:c t="inlineStr" r="BO161"/>
      <x:c t="inlineStr" r="BP161"/>
      <x:c t="inlineStr" r="BQ161"/>
      <x:c t="inlineStr" r="BR161"/>
      <x:c t="inlineStr" r="BS161"/>
      <x:c t="inlineStr" r="BT161"/>
      <x:c t="inlineStr" r="BU161"/>
      <x:c t="inlineStr" r="BV161"/>
      <x:c t="inlineStr" r="BW161"/>
      <x:c t="inlineStr" r="BX161"/>
      <x:c t="inlineStr" r="BY161"/>
      <x:c t="inlineStr" r="BZ161">
        <x:is>
          <x:t>Ipiranga</x:t>
        </x:is>
      </x:c>
      <x:c t="inlineStr" r="CA161"/>
      <x:c t="inlineStr" r="CB161"/>
      <x:c t="inlineStr" r="CC161"/>
      <x:c t="inlineStr" r="CD161">
        <x:is>
          <x:t>App KMV</x:t>
        </x:is>
      </x:c>
      <x:c t="inlineStr" r="CE161">
        <x:is>
          <x:t>Rock In Rio</x:t>
        </x:is>
      </x:c>
      <x:c t="inlineStr" r="CF161"/>
    </x:row>
    <x:row r="162">
      <x:c t="n" r="A162">
        <x:v>1224859180</x:v>
      </x:c>
      <x:c t="inlineStr" r="B162">
        <x:is>
          <x:t>18.08.2026</x:t>
        </x:is>
      </x:c>
      <x:c t="inlineStr" r="C162">
        <x:is>
          <x:t>17:14</x:t>
        </x:is>
      </x:c>
      <x:c t="inlineStr" r="D162">
        <x:is>
          <x:t>20.08.2026 14:07</x:t>
        </x:is>
      </x:c>
      <x:c t="inlineStr" r="E162">
        <x:is>
          <x:t/>
        </x:is>
      </x:c>
      <x:c t="str" r="F162">
        <x:v>O palco no Rock In Rio Brasil 2026 é dela. O ingresso pode ser seu.
🎟️ Resgate seu ingresso de gramado pelo app KMV usando pontos + dinheiro e ainda ganhe
R$ 100 em vale-combustível.
Depois é só fazer uma Parada Completa no Ipiranga e partir pro festival. 🚗⛽️
#Ipiranga #KMV #RockinRio2026</x:v>
      </x:c>
      <x:c t="inlineStr" r="G162">
        <x:is>
          <x:t/>
        </x:is>
      </x:c>
      <x:c t="inlineStr" r="H162"/>
      <x:c t="inlineStr" r="I162">
        <x:is>
          <x:t>Repost</x:t>
        </x:is>
      </x:c>
      <x:c t="inlineStr" r="J162">
        <x:is>
          <x:t>Imagem,Texto</x:t>
        </x:is>
      </x:c>
      <x:c t="inlineStr" r="K162"/>
      <x:c r="L162">
        <x:f>HYPERLINK("https://x.com/baddiee_gui/status/2089808281950711972")</x:f>
      </x:c>
      <x:c t="inlineStr" r="M162">
        <x:is>
          <x:t>Negativo</x:t>
        </x:is>
      </x:c>
      <x:c t="inlineStr" r="N162">
        <x:is>
          <x:t>𝑳𝒂 𝑴𝒖𝒆𝒓𝒕𝒆.⋆♱⃓</x:t>
        </x:is>
      </x:c>
      <x:c t="inlineStr" r="O162">
        <x:is>
          <x:t>baddiee_gui</x:t>
        </x:is>
      </x:c>
      <x:c r="P162">
        <x:f>HYPERLINK("http://x.com/baddiee_gui")</x:f>
      </x:c>
      <x:c t="n" r="Q162">
        <x:v>790</x:v>
      </x:c>
      <x:c t="inlineStr" r="R162"/>
      <x:c t="inlineStr" r="S162"/>
      <x:c t="inlineStr" r="T162">
        <x:is>
          <x:t>x.com</x:t>
        </x:is>
      </x:c>
      <x:c t="inlineStr" r="U162"/>
      <x:c t="inlineStr" r="V162"/>
      <x:c t="inlineStr" r="W162"/>
      <x:c t="inlineStr" r="X162"/>
      <x:c t="inlineStr" r="Y162">
        <x:is>
          <x:t>Rede social</x:t>
        </x:is>
      </x:c>
      <x:c t="inlineStr" r="Z162">
        <x:is>
          <x:t>Português</x:t>
        </x:is>
      </x:c>
      <x:c t="inlineStr" r="AA162">
        <x:is>
          <x:t>Brasil</x:t>
        </x:is>
      </x:c>
      <x:c t="inlineStr" r="AB162"/>
      <x:c t="inlineStr" r="AC162"/>
      <x:c t="inlineStr" r="AD162"/>
      <x:c t="inlineStr" r="AE162"/>
      <x:c t="n" r="AF162">
        <x:v>0</x:v>
      </x:c>
      <x:c t="inlineStr" r="AG162"/>
      <x:c t="inlineStr" r="AH162"/>
      <x:c t="inlineStr" r="AI162"/>
      <x:c t="inlineStr" r="AJ162"/>
      <x:c t="inlineStr" r="AK162"/>
      <x:c t="inlineStr" r="AL162"/>
      <x:c t="inlineStr" r="AM162"/>
      <x:c t="inlineStr" r="AN162"/>
      <x:c t="inlineStr" r="AO162"/>
      <x:c t="inlineStr" r="AP162"/>
      <x:c t="inlineStr" r="AQ162"/>
      <x:c t="inlineStr" r="AR162"/>
      <x:c t="inlineStr" r="AS162"/>
      <x:c t="inlineStr" r="AT162"/>
      <x:c t="n" r="AU162">
        <x:v>790</x:v>
      </x:c>
      <x:c t="inlineStr" r="AV162"/>
      <x:c t="inlineStr" r="AW162">
        <x:is>
          <x:t>Ipiranga</x:t>
        </x:is>
      </x:c>
      <x:c t="inlineStr" r="AX162">
        <x:is>
          <x:t>text,poster</x:t>
        </x:is>
      </x:c>
      <x:c t="inlineStr" r="AY162">
        <x:is>
          <x:t/>
        </x:is>
      </x:c>
      <x:c t="inlineStr" r="AZ162">
        <x:is>
          <x:t/>
        </x:is>
      </x:c>
      <x:c t="inlineStr" r="BA162">
        <x:is>
          <x:t/>
        </x:is>
      </x:c>
      <x:c t="inlineStr" r="BB162">
        <x:is>
          <x:t>ILLUSTRATION</x:t>
        </x:is>
      </x:c>
      <x:c t="inlineStr" r="BC162">
        <x:is>
          <x:t>advertising</x:t>
        </x:is>
      </x:c>
      <x:c r="BD162">
        <x:f>HYPERLINK("https://pbs.twimg.com/media/HQB7JO-XcAAbxfF.jpg")</x:f>
      </x:c>
      <x:c t="inlineStr" r="BE162">
        <x:is>
          <x:t/>
        </x:is>
      </x:c>
      <x:c t="inlineStr" r="BF162">
        <x:is>
          <x:t>Não</x:t>
        </x:is>
      </x:c>
      <x:c t="inlineStr" r="BG162"/>
      <x:c t="inlineStr" r="BH162">
        <x:is>
          <x:t/>
        </x:is>
      </x:c>
      <x:c t="inlineStr" r="BI162">
        <x:is>
          <x:t>Giveaway</x:t>
        </x:is>
      </x:c>
      <x:c t="inlineStr" r="BJ162"/>
      <x:c t="inlineStr" r="BK162">
        <x:is>
          <x:t>Campanha: Parada Completa,Ipiranga,App KMV,Rock In Rio</x:t>
        </x:is>
      </x:c>
      <x:c t="inlineStr" r="BL162"/>
      <x:c t="inlineStr" r="BM162"/>
      <x:c t="inlineStr" r="BN162"/>
      <x:c t="inlineStr" r="BO162"/>
      <x:c t="inlineStr" r="BP162"/>
      <x:c t="inlineStr" r="BQ162"/>
      <x:c t="inlineStr" r="BR162"/>
      <x:c t="inlineStr" r="BS162"/>
      <x:c t="inlineStr" r="BT162"/>
      <x:c t="inlineStr" r="BU162"/>
      <x:c t="inlineStr" r="BV162"/>
      <x:c t="inlineStr" r="BW162"/>
      <x:c t="inlineStr" r="BX162"/>
      <x:c t="inlineStr" r="BY162">
        <x:is>
          <x:t>Campanha: Parada Completa</x:t>
        </x:is>
      </x:c>
      <x:c t="inlineStr" r="BZ162">
        <x:is>
          <x:t>Ipiranga</x:t>
        </x:is>
      </x:c>
      <x:c t="inlineStr" r="CA162"/>
      <x:c t="inlineStr" r="CB162"/>
      <x:c t="inlineStr" r="CC162"/>
      <x:c t="inlineStr" r="CD162">
        <x:is>
          <x:t>App KMV</x:t>
        </x:is>
      </x:c>
      <x:c t="inlineStr" r="CE162">
        <x:is>
          <x:t>Rock In Rio</x:t>
        </x:is>
      </x:c>
      <x:c t="inlineStr" r="CF162"/>
    </x:row>
    <x:row r="163">
      <x:c t="n" r="A163">
        <x:v>573239811</x:v>
      </x:c>
      <x:c t="inlineStr" r="B163">
        <x:is>
          <x:t>18.08.2026</x:t>
        </x:is>
      </x:c>
      <x:c t="inlineStr" r="C163">
        <x:is>
          <x:t>17:12</x:t>
        </x:is>
      </x:c>
      <x:c t="inlineStr" r="D163">
        <x:is>
          <x:t>19.08.2026 03:14</x:t>
        </x:is>
      </x:c>
      <x:c t="inlineStr" r="E163">
        <x:is>
          <x:t/>
        </x:is>
      </x:c>
      <x:c t="str" r="F163">
        <x:v>Ainda tem ingresso de gramado para sua banda do coração no Rock in Rio Brasil 2026.
🎟️ Resgate seu ingresso de gramado pelo app KMV usando pontos + dinheiro e ganhe R$ 100 em vale-combustível.
Passe no Posto Ipiranga, complete o tanque com Ipimax, faça aquela parada na AmPm ou no Jet Oil e fique preparado pra curtir o melhor do festival. 🤘🚗⛽
#Ipiranga #KMV #RockinRio2026
Resgate aqui: https://www.ipiranga.com.br/wps/portal/pt-br/ipiranga/a-ipiranga/campanhas-e-acoes/promocoes-e-ofertas/rock-in-rio?utm_source=none&amp;utm_medium=organico&amp;utm_campaign=kmv_none_aw_imagem_sust_kmv_rock-in-rio-26_organico_none_fandom_none_40241_auto_none_none_fandom_none_img_dti_none&amp;fbclid=PAVERFWATxZ2ZwZG9mAmZkaWQWUMuYX5ecys6-FUK7nDno-I6Xd8nxjmV4dG4DYWVtAjEwAHNydGMGYXBwX2lkDzEyNDAyNDU3NDI4NzQxNAABp4YSVv3zxa1rQ1FATpWAJt1sct0aEmEIPQZJ7EzUe9nGzDXAefqN94GFKXzG_aem_W92XApxj-_V5jK5d3ayRLQ</x:v>
      </x:c>
      <x:c t="inlineStr" r="G163">
        <x:is>
          <x:t/>
        </x:is>
      </x:c>
      <x:c t="inlineStr" r="H163"/>
      <x:c t="inlineStr" r="I163">
        <x:is>
          <x:t>Postar</x:t>
        </x:is>
      </x:c>
      <x:c t="inlineStr" r="J163">
        <x:is>
          <x:t>Texto,Imagem</x:t>
        </x:is>
      </x:c>
      <x:c t="inlineStr" r="K163"/>
      <x:c r="L163">
        <x:f>HYPERLINK("https://www.facebook.com/1629529351866540")</x:f>
      </x:c>
      <x:c t="inlineStr" r="M163">
        <x:is>
          <x:t>Negativo</x:t>
        </x:is>
      </x:c>
      <x:c t="inlineStr" r="N163">
        <x:is>
          <x:t>A7x Frases &amp; Versos</x:t>
        </x:is>
      </x:c>
      <x:c t="inlineStr" r="O163"/>
      <x:c r="P163">
        <x:f>HYPERLINK("https://www.facebook.com/313804922129399")</x:f>
      </x:c>
      <x:c t="n" r="Q163">
        <x:v>148945</x:v>
      </x:c>
      <x:c t="inlineStr" r="R163">
        <x:is>
          <x:t>Comunidade</x:t>
        </x:is>
      </x:c>
      <x:c t="inlineStr" r="S163"/>
      <x:c t="inlineStr" r="T163">
        <x:is>
          <x:t>facebook.com</x:t>
        </x:is>
      </x:c>
      <x:c t="inlineStr" r="U163">
        <x:is>
          <x:t>A7x Frases &amp; Versos</x:t>
        </x:is>
      </x:c>
      <x:c r="V163">
        <x:f>HYPERLINK("https://www.facebook.com/313804922129399")</x:f>
      </x:c>
      <x:c t="n" r="W163">
        <x:v>148945</x:v>
      </x:c>
      <x:c t="inlineStr" r="X163"/>
      <x:c t="inlineStr" r="Y163">
        <x:is>
          <x:t>Rede social</x:t>
        </x:is>
      </x:c>
      <x:c t="inlineStr" r="Z163">
        <x:is>
          <x:t>Português</x:t>
        </x:is>
      </x:c>
      <x:c t="inlineStr" r="AA163"/>
      <x:c t="inlineStr" r="AB163"/>
      <x:c t="inlineStr" r="AC163"/>
      <x:c t="inlineStr" r="AD163"/>
      <x:c t="n" r="AE163">
        <x:v>8</x:v>
      </x:c>
      <x:c t="n" r="AF163">
        <x:v>8</x:v>
      </x:c>
      <x:c t="n" r="AG163">
        <x:v>8</x:v>
      </x:c>
      <x:c t="inlineStr" r="AH163"/>
      <x:c t="inlineStr" r="AI163"/>
      <x:c t="inlineStr" r="AJ163"/>
      <x:c t="inlineStr" r="AK163"/>
      <x:c t="inlineStr" r="AL163"/>
      <x:c t="inlineStr" r="AM163"/>
      <x:c t="inlineStr" r="AN163"/>
      <x:c t="n" r="AO163">
        <x:v>0</x:v>
      </x:c>
      <x:c t="inlineStr" r="AP163"/>
      <x:c t="inlineStr" r="AQ163"/>
      <x:c t="inlineStr" r="AR163"/>
      <x:c t="inlineStr" r="AS163"/>
      <x:c t="inlineStr" r="AT163"/>
      <x:c t="n" r="AU163">
        <x:v>148945</x:v>
      </x:c>
      <x:c t="inlineStr" r="AV163"/>
      <x:c t="inlineStr" r="AW163">
        <x:is>
          <x:t/>
        </x:is>
      </x:c>
      <x:c t="inlineStr" r="AX163">
        <x:is>
          <x:t>text,poster</x:t>
        </x:is>
      </x:c>
      <x:c t="inlineStr" r="AY163">
        <x:is>
          <x:t/>
        </x:is>
      </x:c>
      <x:c t="inlineStr" r="AZ163">
        <x:is>
          <x:t/>
        </x:is>
      </x:c>
      <x:c t="inlineStr" r="BA163">
        <x:is>
          <x:t/>
        </x:is>
      </x:c>
      <x:c t="inlineStr" r="BB163">
        <x:is>
          <x:t>ILLUSTRATION</x:t>
        </x:is>
      </x:c>
      <x:c t="inlineStr" r="BC163">
        <x:is>
          <x:t>advertising</x:t>
        </x:is>
      </x:c>
      <x:c t="inlineStr" r="BD163">
        <x:is>
          <x:t>https://scontent.fbkk13-3.fna.fbcdn.net/v/t39.99422-6/777825429_1713593706413225_3526705083031672015_n.png?stp=dst-jpg_tt6&amp;cstp=mx1080x1350&amp;ctp=s1080x1350&amp;_nc_cat=100&amp;_nc_map=urlgen_bucketless&amp;ccb=1-7&amp;_nc_sid=833d8c&amp;_nc_ohc=nGKcplrxGpYQ7kNvwFPvb1h&amp;_nc_oc=AdqwQjdxJmAGF3yaSS9K0jDpDGPvzbRoS0gAUlJC8XagYVp1fweCci9TixburWVUZtM&amp;_nc_zt=14&amp;_nc_ht=scontent.fbkk13-3.fna&amp;_nc_gid=x_mA4M7LEqPxGfjTCT2EtQ&amp;_nc_ss=70100&amp;oh=00_AQEuA0buPeQaLkaV9cvIiP94YkarCzri3JA0iIkkQCqh6g&amp;oe=6A8B0208</x:t>
        </x:is>
      </x:c>
      <x:c t="inlineStr" r="BE163">
        <x:is>
          <x:t/>
        </x:is>
      </x:c>
      <x:c t="inlineStr" r="BF163">
        <x:is>
          <x:t>Não</x:t>
        </x:is>
      </x:c>
      <x:c t="inlineStr" r="BG163"/>
      <x:c t="inlineStr" r="BH163">
        <x:is>
          <x:t>Acontecimento</x:t>
        </x:is>
      </x:c>
      <x:c t="inlineStr" r="BI163">
        <x:is>
          <x:t>Giveaway</x:t>
        </x:is>
      </x:c>
      <x:c t="inlineStr" r="BJ163"/>
      <x:c t="inlineStr" r="BK163">
        <x:is>
          <x:t>Franquia - Jet Oil,Franquia - AmPm,Ipimax,Ipiranga,App KMV,Rock In Rio</x:t>
        </x:is>
      </x:c>
      <x:c t="inlineStr" r="BL163"/>
      <x:c t="inlineStr" r="BM163"/>
      <x:c t="inlineStr" r="BN163"/>
      <x:c t="inlineStr" r="BO163"/>
      <x:c t="inlineStr" r="BP163"/>
      <x:c t="inlineStr" r="BQ163"/>
      <x:c t="inlineStr" r="BR163"/>
      <x:c t="inlineStr" r="BS163"/>
      <x:c t="inlineStr" r="BT163"/>
      <x:c t="inlineStr" r="BU163"/>
      <x:c t="inlineStr" r="BV163">
        <x:is>
          <x:t>Franquia - AmPm</x:t>
        </x:is>
      </x:c>
      <x:c t="inlineStr" r="BW163">
        <x:is>
          <x:t>Ipimax</x:t>
        </x:is>
      </x:c>
      <x:c t="inlineStr" r="BX163">
        <x:is>
          <x:t>Franquia - Jet Oil</x:t>
        </x:is>
      </x:c>
      <x:c t="inlineStr" r="BY163"/>
      <x:c t="inlineStr" r="BZ163">
        <x:is>
          <x:t>Ipiranga</x:t>
        </x:is>
      </x:c>
      <x:c t="inlineStr" r="CA163"/>
      <x:c t="inlineStr" r="CB163"/>
      <x:c t="inlineStr" r="CC163"/>
      <x:c t="inlineStr" r="CD163">
        <x:is>
          <x:t>App KMV</x:t>
        </x:is>
      </x:c>
      <x:c t="inlineStr" r="CE163">
        <x:is>
          <x:t>Rock In Rio</x:t>
        </x:is>
      </x:c>
      <x:c t="inlineStr" r="CF163"/>
    </x:row>
    <x:row r="164">
      <x:c t="n" r="A164">
        <x:v>1391609808</x:v>
      </x:c>
      <x:c t="inlineStr" r="B164">
        <x:is>
          <x:t>18.08.2026</x:t>
        </x:is>
      </x:c>
      <x:c t="inlineStr" r="C164">
        <x:is>
          <x:t>17:10</x:t>
        </x:is>
      </x:c>
      <x:c t="inlineStr" r="D164">
        <x:is>
          <x:t>18.08.2026 17:55</x:t>
        </x:is>
      </x:c>
      <x:c t="inlineStr" r="E164">
        <x:is>
          <x:t/>
        </x:is>
      </x:c>
      <x:c t="str" r="F164">
        <x:v>🎟️ Resgate seu ingresso de gramado pelo app KMV usando pontos + dinheiro e ainda ganhe R$ 100 em vale-combustível.
Depois é só fazer uma Parada Completa no Ipiranga e partir pro festival. ⛽🚗
#Ipiranga #KMV #RockinRio2026
Resgate aqui:
https://www.ipiranga.com.br/wps/portal/pt-br/ipiranga/a-ipiranga/campanhas-e-acoes/promocoes-e-ofertas/rock-in-rio?utm_source=none&amp;utm_medium=organico&amp;utm_campaign=kmv_none_aw_imagem_sust_kmv_rock-in-rio-26_organico_none_fandom_none_40241_auto_none_none_fandom_none_img_dti_none&amp;fbclid=PAVERFWATxZ2ZwZG9mAmZkaWQWUMuYX5ecys6-FUK7nDno-I6Xd8nxjmV4dG4DYWVtAjEwAHNydGMGYXBwX2lkDzEyNDAyNDU3NDI4NzQxNAABp4YSVv3zxa1rQ1FATpWAJt1sct0aEmEIPQZJ7EzUe9nGzDXAefqN94GFKXzG_aem_W92XApxj-_V5jK5d3ayRLQ</x:v>
      </x:c>
      <x:c t="inlineStr" r="G164">
        <x:is>
          <x:t/>
        </x:is>
      </x:c>
      <x:c t="inlineStr" r="H164"/>
      <x:c t="inlineStr" r="I164">
        <x:is>
          <x:t>Postar</x:t>
        </x:is>
      </x:c>
      <x:c t="inlineStr" r="J164">
        <x:is>
          <x:t>Imagem,Texto</x:t>
        </x:is>
      </x:c>
      <x:c t="inlineStr" r="K164"/>
      <x:c r="L164">
        <x:f>HYPERLINK("https://x.com/A7xFVOficial/status/2089807169881256127")</x:f>
      </x:c>
      <x:c t="inlineStr" r="M164">
        <x:is>
          <x:t>Negativo</x:t>
        </x:is>
      </x:c>
      <x:c t="inlineStr" r="N164">
        <x:is>
          <x:t>A7x Frases &amp; Versos 🇧🇷</x:t>
        </x:is>
      </x:c>
      <x:c t="inlineStr" r="O164">
        <x:is>
          <x:t>A7xFVOficial</x:t>
        </x:is>
      </x:c>
      <x:c r="P164">
        <x:f>HYPERLINK("http://x.com/A7xFVOficial")</x:f>
      </x:c>
      <x:c t="n" r="Q164">
        <x:v>4202</x:v>
      </x:c>
      <x:c t="inlineStr" r="R164"/>
      <x:c t="inlineStr" r="S164"/>
      <x:c t="inlineStr" r="T164">
        <x:is>
          <x:t>x.com</x:t>
        </x:is>
      </x:c>
      <x:c t="inlineStr" r="U164"/>
      <x:c t="inlineStr" r="V164"/>
      <x:c t="inlineStr" r="W164"/>
      <x:c t="inlineStr" r="X164"/>
      <x:c t="inlineStr" r="Y164">
        <x:is>
          <x:t>Rede social</x:t>
        </x:is>
      </x:c>
      <x:c t="inlineStr" r="Z164">
        <x:is>
          <x:t>Português</x:t>
        </x:is>
      </x:c>
      <x:c t="inlineStr" r="AA164">
        <x:is>
          <x:t>Brasil</x:t>
        </x:is>
      </x:c>
      <x:c t="inlineStr" r="AB164"/>
      <x:c t="inlineStr" r="AC164"/>
      <x:c t="inlineStr" r="AD164"/>
      <x:c t="n" r="AE164">
        <x:v>9</x:v>
      </x:c>
      <x:c t="n" r="AF164">
        <x:v>11</x:v>
      </x:c>
      <x:c t="n" r="AG164">
        <x:v>9</x:v>
      </x:c>
      <x:c t="inlineStr" r="AH164"/>
      <x:c t="inlineStr" r="AI164"/>
      <x:c t="inlineStr" r="AJ164"/>
      <x:c t="inlineStr" r="AK164"/>
      <x:c t="inlineStr" r="AL164"/>
      <x:c t="inlineStr" r="AM164"/>
      <x:c t="inlineStr" r="AN164"/>
      <x:c t="n" r="AO164">
        <x:v>1</x:v>
      </x:c>
      <x:c t="n" r="AP164">
        <x:v>1</x:v>
      </x:c>
      <x:c t="n" r="AQ164">
        <x:v>488</x:v>
      </x:c>
      <x:c t="inlineStr" r="AR164"/>
      <x:c t="inlineStr" r="AS164"/>
      <x:c t="inlineStr" r="AT164"/>
      <x:c t="n" r="AU164">
        <x:v>4202</x:v>
      </x:c>
      <x:c t="inlineStr" r="AV164"/>
      <x:c t="inlineStr" r="AW164">
        <x:is>
          <x:t>Ipiranga</x:t>
        </x:is>
      </x:c>
      <x:c t="inlineStr" r="AX164">
        <x:is>
          <x:t>text,poster</x:t>
        </x:is>
      </x:c>
      <x:c t="inlineStr" r="AY164">
        <x:is>
          <x:t/>
        </x:is>
      </x:c>
      <x:c t="inlineStr" r="AZ164">
        <x:is>
          <x:t/>
        </x:is>
      </x:c>
      <x:c t="inlineStr" r="BA164">
        <x:is>
          <x:t/>
        </x:is>
      </x:c>
      <x:c t="inlineStr" r="BB164">
        <x:is>
          <x:t>ILLUSTRATION</x:t>
        </x:is>
      </x:c>
      <x:c t="inlineStr" r="BC164">
        <x:is>
          <x:t>advertising</x:t>
        </x:is>
      </x:c>
      <x:c r="BD164">
        <x:f>HYPERLINK("https://pbs.twimg.com/media/HQB8i0KXEAA8p2_.jpg")</x:f>
      </x:c>
      <x:c t="inlineStr" r="BE164">
        <x:is>
          <x:t/>
        </x:is>
      </x:c>
      <x:c t="inlineStr" r="BF164">
        <x:is>
          <x:t>Não</x:t>
        </x:is>
      </x:c>
      <x:c t="inlineStr" r="BG164"/>
      <x:c t="inlineStr" r="BH164">
        <x:is>
          <x:t/>
        </x:is>
      </x:c>
      <x:c t="inlineStr" r="BI164">
        <x:is>
          <x:t>Giveaway</x:t>
        </x:is>
      </x:c>
      <x:c t="inlineStr" r="BJ164"/>
      <x:c t="inlineStr" r="BK164">
        <x:is>
          <x:t>Campanha: Parada Completa,Ipiranga,App KMV,Rock In Rio</x:t>
        </x:is>
      </x:c>
      <x:c t="inlineStr" r="BL164"/>
      <x:c t="inlineStr" r="BM164"/>
      <x:c t="inlineStr" r="BN164"/>
      <x:c t="inlineStr" r="BO164"/>
      <x:c t="inlineStr" r="BP164"/>
      <x:c t="inlineStr" r="BQ164"/>
      <x:c t="inlineStr" r="BR164"/>
      <x:c t="inlineStr" r="BS164"/>
      <x:c t="inlineStr" r="BT164"/>
      <x:c t="inlineStr" r="BU164"/>
      <x:c t="inlineStr" r="BV164"/>
      <x:c t="inlineStr" r="BW164"/>
      <x:c t="inlineStr" r="BX164"/>
      <x:c t="inlineStr" r="BY164">
        <x:is>
          <x:t>Campanha: Parada Completa</x:t>
        </x:is>
      </x:c>
      <x:c t="inlineStr" r="BZ164">
        <x:is>
          <x:t>Ipiranga</x:t>
        </x:is>
      </x:c>
      <x:c t="inlineStr" r="CA164"/>
      <x:c t="inlineStr" r="CB164"/>
      <x:c t="inlineStr" r="CC164"/>
      <x:c t="inlineStr" r="CD164">
        <x:is>
          <x:t>App KMV</x:t>
        </x:is>
      </x:c>
      <x:c t="inlineStr" r="CE164">
        <x:is>
          <x:t>Rock In Rio</x:t>
        </x:is>
      </x:c>
      <x:c t="inlineStr" r="CF164"/>
    </x:row>
    <x:row r="165">
      <x:c t="n" r="A165">
        <x:v>1113912031</x:v>
      </x:c>
      <x:c t="inlineStr" r="B165">
        <x:is>
          <x:t>18.08.2026</x:t>
        </x:is>
      </x:c>
      <x:c t="inlineStr" r="C165">
        <x:is>
          <x:t>17:08</x:t>
        </x:is>
      </x:c>
      <x:c t="inlineStr" r="D165">
        <x:is>
          <x:t>18.08.2026 17:16</x:t>
        </x:is>
      </x:c>
      <x:c t="inlineStr" r="E165">
        <x:is>
          <x:t/>
        </x:is>
      </x:c>
      <x:c t="str" r="F165">
        <x:v>🎤 Sua emoção já tem data marcada. Seu ingresso já tem endereço: o app KMV.
🎟️ Resgate seu ingresso de gramado pelo app KMV usando seus pontos + dinheiro e ainda ganhe R$ 100 em vale-combustível.
E o esquenta pro festival já tem parada certa: passe no Posto Ipiranga, abasteça com Ipimax, aproveite a AmPm ou dê aquele cuidado no carro no Jet Oil. Depois, é só seguir pro show. 🚗⛽
#Ipiranga #KMV #RockinRio2026</x:v>
      </x:c>
      <x:c t="inlineStr" r="G165">
        <x:is>
          <x:t/>
        </x:is>
      </x:c>
      <x:c t="inlineStr" r="H165"/>
      <x:c t="inlineStr" r="I165">
        <x:is>
          <x:t>Postar</x:t>
        </x:is>
      </x:c>
      <x:c t="inlineStr" r="J165">
        <x:is>
          <x:t>Texto,Álbum,Imagem</x:t>
        </x:is>
      </x:c>
      <x:c t="inlineStr" r="K165"/>
      <x:c r="L165">
        <x:f>HYPERLINK("https://www.threads.net/@cantorbelomilgrau/post/DcMb8HrGRHa")</x:f>
      </x:c>
      <x:c t="inlineStr" r="M165">
        <x:is>
          <x:t>Negativo</x:t>
        </x:is>
      </x:c>
      <x:c t="inlineStr" r="N165">
        <x:is>
          <x:t>Central Cantor Belo</x:t>
        </x:is>
      </x:c>
      <x:c t="inlineStr" r="O165">
        <x:is>
          <x:t>cantorbelomilgrau</x:t>
        </x:is>
      </x:c>
      <x:c r="P165">
        <x:f>HYPERLINK("https://www.threads.net/@cantorbelomilgrau")</x:f>
      </x:c>
      <x:c t="n" r="Q165">
        <x:v>69142</x:v>
      </x:c>
      <x:c t="inlineStr" r="R165"/>
      <x:c t="inlineStr" r="S165"/>
      <x:c t="inlineStr" r="T165">
        <x:is>
          <x:t>threads.com</x:t>
        </x:is>
      </x:c>
      <x:c t="inlineStr" r="U165"/>
      <x:c t="inlineStr" r="V165"/>
      <x:c t="inlineStr" r="W165"/>
      <x:c t="inlineStr" r="X165"/>
      <x:c t="inlineStr" r="Y165">
        <x:is>
          <x:t>Rede social</x:t>
        </x:is>
      </x:c>
      <x:c t="inlineStr" r="Z165">
        <x:is>
          <x:t>Português</x:t>
        </x:is>
      </x:c>
      <x:c t="inlineStr" r="AA165"/>
      <x:c t="inlineStr" r="AB165"/>
      <x:c t="inlineStr" r="AC165"/>
      <x:c t="inlineStr" r="AD165"/>
      <x:c t="n" r="AE165">
        <x:v>0</x:v>
      </x:c>
      <x:c t="n" r="AF165">
        <x:v>0</x:v>
      </x:c>
      <x:c t="n" r="AG165">
        <x:v>0</x:v>
      </x:c>
      <x:c t="inlineStr" r="AH165"/>
      <x:c t="inlineStr" r="AI165"/>
      <x:c t="inlineStr" r="AJ165"/>
      <x:c t="inlineStr" r="AK165"/>
      <x:c t="inlineStr" r="AL165"/>
      <x:c t="inlineStr" r="AM165"/>
      <x:c t="inlineStr" r="AN165"/>
      <x:c t="n" r="AO165">
        <x:v>0</x:v>
      </x:c>
      <x:c t="inlineStr" r="AP165"/>
      <x:c t="inlineStr" r="AQ165"/>
      <x:c t="inlineStr" r="AR165"/>
      <x:c t="inlineStr" r="AS165"/>
      <x:c t="inlineStr" r="AT165"/>
      <x:c t="n" r="AU165">
        <x:v>69142</x:v>
      </x:c>
      <x:c t="inlineStr" r="AV165"/>
      <x:c t="inlineStr" r="AW165">
        <x:is>
          <x:t/>
        </x:is>
      </x:c>
      <x:c t="inlineStr" r="AX165">
        <x:is>
          <x:t>text,poster,emblem</x:t>
        </x:is>
      </x:c>
      <x:c t="inlineStr" r="AY165">
        <x:is>
          <x:t/>
        </x:is>
      </x:c>
      <x:c t="inlineStr" r="AZ165">
        <x:is>
          <x:t/>
        </x:is>
      </x:c>
      <x:c t="inlineStr" r="BA165">
        <x:is>
          <x:t/>
        </x:is>
      </x:c>
      <x:c t="inlineStr" r="BB165">
        <x:is>
          <x:t>ILLUSTRATION</x:t>
        </x:is>
      </x:c>
      <x:c t="inlineStr" r="BC165">
        <x:is>
          <x:t>advertising</x:t>
        </x:is>
      </x:c>
      <x:c t="inlineStr" r="BD165">
        <x:is>
          <x:t>https://instagram.fjog3-1.fna.fbcdn.net/v/t51.82787-15/780276698_18377726419231945_7271356237194890109_n.jpg?stp=dst-jpg_e35_tt6&amp;_nc_cat=104&amp;ig_cache_key=Mzk2NjY2ODIzNTUxMzMzNzE4Mw%3D%3D.3-ccb7-5&amp;ccb=7-5&amp;_nc_sid=58cdad&amp;efg=eyJ2ZW5jb2RlX3RhZyI6IkNBUk9VU0VMX0lURU0ueHBpZHMuMTA4MC5zZHIucmVndWxhcl9waG90by5DMyJ9&amp;_nc_ohc=3oXjbhmq_JAQ7kNvwEWB9TW&amp;_nc_oc=Adp4lXH8PDDnwZsTJDo204AqkqJs7_paBv1vWALEdwKuLEK6Iw-cKSnZH66d4JxHpC4K38oVpLir2GhtEnilDJqC&amp;_nc_ad=z-m&amp;_nc_cid=1225&amp;_nc_zt=23&amp;_nc_ht=instagram.fjog3-1.fna&amp;_nc_gid=Er5HFMo0_uB4efz9e9U91g&amp;_nc_ss=7a22e&amp;oh=00_AQE41gx8mpsgU5xpg7rt-We91ZQcTDSmxBYwgEoFZ3P6rA&amp;oe=6A8A86A2</x:t>
        </x:is>
      </x:c>
      <x:c t="inlineStr" r="BE165">
        <x:is>
          <x:t/>
        </x:is>
      </x:c>
      <x:c t="inlineStr" r="BF165">
        <x:is>
          <x:t>Não</x:t>
        </x:is>
      </x:c>
      <x:c t="inlineStr" r="BG165"/>
      <x:c t="inlineStr" r="BH165">
        <x:is>
          <x:t>Acontecimento</x:t>
        </x:is>
      </x:c>
      <x:c t="inlineStr" r="BI165">
        <x:is>
          <x:t>Promoção</x:t>
        </x:is>
      </x:c>
      <x:c t="inlineStr" r="BJ165"/>
      <x:c t="inlineStr" r="BK165">
        <x:is>
          <x:t>Franquia - Jet Oil,Franquia - AmPm,Ipimax,Ipiranga,App KMV,Rock In Rio</x:t>
        </x:is>
      </x:c>
      <x:c t="inlineStr" r="BL165"/>
      <x:c t="inlineStr" r="BM165"/>
      <x:c t="inlineStr" r="BN165"/>
      <x:c t="inlineStr" r="BO165"/>
      <x:c t="inlineStr" r="BP165"/>
      <x:c t="inlineStr" r="BQ165"/>
      <x:c t="inlineStr" r="BR165"/>
      <x:c t="inlineStr" r="BS165"/>
      <x:c t="inlineStr" r="BT165"/>
      <x:c t="inlineStr" r="BU165"/>
      <x:c t="inlineStr" r="BV165">
        <x:is>
          <x:t>Franquia - AmPm</x:t>
        </x:is>
      </x:c>
      <x:c t="inlineStr" r="BW165">
        <x:is>
          <x:t>Ipimax</x:t>
        </x:is>
      </x:c>
      <x:c t="inlineStr" r="BX165">
        <x:is>
          <x:t>Franquia - Jet Oil</x:t>
        </x:is>
      </x:c>
      <x:c t="inlineStr" r="BY165"/>
      <x:c t="inlineStr" r="BZ165">
        <x:is>
          <x:t>Ipiranga</x:t>
        </x:is>
      </x:c>
      <x:c t="inlineStr" r="CA165"/>
      <x:c t="inlineStr" r="CB165"/>
      <x:c t="inlineStr" r="CC165"/>
      <x:c t="inlineStr" r="CD165">
        <x:is>
          <x:t>App KMV</x:t>
        </x:is>
      </x:c>
      <x:c t="inlineStr" r="CE165">
        <x:is>
          <x:t>Rock In Rio</x:t>
        </x:is>
      </x:c>
      <x:c t="inlineStr" r="CF165"/>
    </x:row>
    <x:row r="166">
      <x:c t="n" r="A166">
        <x:v>1529221072</x:v>
      </x:c>
      <x:c t="inlineStr" r="B166">
        <x:is>
          <x:t>18.08.2026</x:t>
        </x:is>
      </x:c>
      <x:c t="inlineStr" r="C166">
        <x:is>
          <x:t>17:08</x:t>
        </x:is>
      </x:c>
      <x:c t="inlineStr" r="D166">
        <x:is>
          <x:t>18.08.2026 17:49</x:t>
        </x:is>
      </x:c>
      <x:c t="inlineStr" r="E166">
        <x:is>
          <x:t/>
        </x:is>
      </x:c>
      <x:c t="str" r="F166">
        <x:v>🎤 Sua emoção já tem data marcada. Seu ingresso já tem endereço: o app KMV.
🎟️ Resgate seu ingresso de gramado pelo app KMV usando seus pontos + dinheiro e ainda ganhe R$ 100 em vale-combustível.
E o esquenta pro festival já tem parada certa: passe no Posto Ipiranga, abasteça com Ipimax, aproveite a AmPm ou dê aquele cuidado no carro no Jet Oil. Depois, é só seguir pro show. 🚗⛽
#Ipiranga #KMV #RockinRio2026</x:v>
      </x:c>
      <x:c t="inlineStr" r="G166">
        <x:is>
          <x:t/>
        </x:is>
      </x:c>
      <x:c t="inlineStr" r="H166"/>
      <x:c t="inlineStr" r="I166">
        <x:is>
          <x:t>Postar</x:t>
        </x:is>
      </x:c>
      <x:c t="inlineStr" r="J166">
        <x:is>
          <x:t>Texto,Álbum,Imagem</x:t>
        </x:is>
      </x:c>
      <x:c t="inlineStr" r="K166"/>
      <x:c r="L166">
        <x:f>HYPERLINK("https://www.instagram.com/p/DcMb6aMGaX5/")</x:f>
      </x:c>
      <x:c t="inlineStr" r="M166">
        <x:is>
          <x:t>Negativo</x:t>
        </x:is>
      </x:c>
      <x:c t="inlineStr" r="N166">
        <x:is>
          <x:t>Central Cantor Belo</x:t>
        </x:is>
      </x:c>
      <x:c t="inlineStr" r="O166">
        <x:is>
          <x:t>cantorbelomilgrau</x:t>
        </x:is>
      </x:c>
      <x:c r="P166">
        <x:f>HYPERLINK("https://www.instagram.com/cantorbelomilgrau/")</x:f>
      </x:c>
      <x:c t="n" r="Q166">
        <x:v>420524</x:v>
      </x:c>
      <x:c t="inlineStr" r="R166"/>
      <x:c t="inlineStr" r="S166"/>
      <x:c t="inlineStr" r="T166">
        <x:is>
          <x:t>instagram.com</x:t>
        </x:is>
      </x:c>
      <x:c t="inlineStr" r="U166">
        <x:is>
          <x:t>Central Cantor Belo</x:t>
        </x:is>
      </x:c>
      <x:c r="V166">
        <x:f>HYPERLINK("https://www.instagram.com/cantorbelomilgrau/")</x:f>
      </x:c>
      <x:c t="n" r="W166">
        <x:v>420524</x:v>
      </x:c>
      <x:c t="inlineStr" r="X166"/>
      <x:c t="inlineStr" r="Y166">
        <x:is>
          <x:t>Rede social</x:t>
        </x:is>
      </x:c>
      <x:c t="inlineStr" r="Z166">
        <x:is>
          <x:t>Português</x:t>
        </x:is>
      </x:c>
      <x:c t="inlineStr" r="AA166"/>
      <x:c t="inlineStr" r="AB166"/>
      <x:c t="inlineStr" r="AC166"/>
      <x:c t="inlineStr" r="AD166"/>
      <x:c t="n" r="AE166">
        <x:v>3</x:v>
      </x:c>
      <x:c t="n" r="AF166">
        <x:v>3</x:v>
      </x:c>
      <x:c t="n" r="AG166">
        <x:v>3</x:v>
      </x:c>
      <x:c t="inlineStr" r="AH166"/>
      <x:c t="inlineStr" r="AI166"/>
      <x:c t="inlineStr" r="AJ166"/>
      <x:c t="inlineStr" r="AK166"/>
      <x:c t="inlineStr" r="AL166"/>
      <x:c t="inlineStr" r="AM166"/>
      <x:c t="inlineStr" r="AN166"/>
      <x:c t="n" r="AO166">
        <x:v>0</x:v>
      </x:c>
      <x:c t="inlineStr" r="AP166"/>
      <x:c t="inlineStr" r="AQ166"/>
      <x:c t="inlineStr" r="AR166"/>
      <x:c t="inlineStr" r="AS166"/>
      <x:c t="inlineStr" r="AT166"/>
      <x:c t="n" r="AU166">
        <x:v>420524</x:v>
      </x:c>
      <x:c t="inlineStr" r="AV166"/>
      <x:c t="inlineStr" r="AW166">
        <x:is>
          <x:t/>
        </x:is>
      </x:c>
      <x:c t="inlineStr" r="AX166">
        <x:is>
          <x:t>text,poster,emblem</x:t>
        </x:is>
      </x:c>
      <x:c t="inlineStr" r="AY166">
        <x:is>
          <x:t/>
        </x:is>
      </x:c>
      <x:c t="inlineStr" r="AZ166">
        <x:is>
          <x:t/>
        </x:is>
      </x:c>
      <x:c t="inlineStr" r="BA166">
        <x:is>
          <x:t/>
        </x:is>
      </x:c>
      <x:c t="inlineStr" r="BB166">
        <x:is>
          <x:t>ILLUSTRATION</x:t>
        </x:is>
      </x:c>
      <x:c t="inlineStr" r="BC166">
        <x:is>
          <x:t>advertising</x:t>
        </x:is>
      </x:c>
      <x:c t="inlineStr" r="BD166">
        <x:is>
          <x:t>https://scontent-ams2-1.cdninstagram.com/v/t51.82787-15/780276698_18377726419231945_7271356237194890109_n.jpg?stp=dst-jpg_e35_tt6&amp;_nc_cat=104&amp;cb=30a688f7-66ad4956&amp;ig_cache_key=Mzk2NjY2Nzk3ODU0Mzk3MTI3MQ%3D%3D.3-ccb7-5-cb30a688f7-66ad4956&amp;ccb=7-5&amp;_nc_sid=a54f6b&amp;efg=eyJlZmdfdGFnIjoiYmVzdF9pbWFnZV91cmxnZW4uQ0FST1VTRUxfSVRFTS5DMyJ9&amp;_nc_ohc=3oXjbhmq_JAQ7kNvwFU42QF&amp;_nc_oc=AdoUgUMfYBWtoaqoWPxVdXad6yPnokhscEXm1wZdWba6k5hHjUNuYgheZLLob4qotMk&amp;_nc_zt=23&amp;_nc_ht=scontent-ams2-1.cdninstagram.com&amp;edm=AJ7ooaQEAAAA&amp;_nc_gid=nxwXxF45EfuPyjjJgPjknQ&amp;oh=00_AQH3u5qHwrWdAeVGNrNmiIe0QDQaq7VRr0xMG5AF6CfcZQ&amp;oe=6A8A86A2</x:t>
        </x:is>
      </x:c>
      <x:c t="inlineStr" r="BE166">
        <x:is>
          <x:t/>
        </x:is>
      </x:c>
      <x:c t="inlineStr" r="BF166">
        <x:is>
          <x:t>Não</x:t>
        </x:is>
      </x:c>
      <x:c t="inlineStr" r="BG166"/>
      <x:c t="inlineStr" r="BH166">
        <x:is>
          <x:t>Acontecimento</x:t>
        </x:is>
      </x:c>
      <x:c t="inlineStr" r="BI166">
        <x:is>
          <x:t>Promoção</x:t>
        </x:is>
      </x:c>
      <x:c t="inlineStr" r="BJ166"/>
      <x:c t="inlineStr" r="BK166">
        <x:is>
          <x:t>Franquia - Jet Oil,Franquia - AmPm,Ipimax,Ipiranga,App KMV,Rock In Rio</x:t>
        </x:is>
      </x:c>
      <x:c t="inlineStr" r="BL166"/>
      <x:c t="inlineStr" r="BM166"/>
      <x:c t="inlineStr" r="BN166"/>
      <x:c t="inlineStr" r="BO166"/>
      <x:c t="inlineStr" r="BP166"/>
      <x:c t="inlineStr" r="BQ166"/>
      <x:c t="inlineStr" r="BR166"/>
      <x:c t="inlineStr" r="BS166"/>
      <x:c t="inlineStr" r="BT166"/>
      <x:c t="inlineStr" r="BU166"/>
      <x:c t="inlineStr" r="BV166">
        <x:is>
          <x:t>Franquia - AmPm</x:t>
        </x:is>
      </x:c>
      <x:c t="inlineStr" r="BW166">
        <x:is>
          <x:t>Ipimax</x:t>
        </x:is>
      </x:c>
      <x:c t="inlineStr" r="BX166">
        <x:is>
          <x:t>Franquia - Jet Oil</x:t>
        </x:is>
      </x:c>
      <x:c t="inlineStr" r="BY166"/>
      <x:c t="inlineStr" r="BZ166">
        <x:is>
          <x:t>Ipiranga</x:t>
        </x:is>
      </x:c>
      <x:c t="inlineStr" r="CA166"/>
      <x:c t="inlineStr" r="CB166"/>
      <x:c t="inlineStr" r="CC166"/>
      <x:c t="inlineStr" r="CD166">
        <x:is>
          <x:t>App KMV</x:t>
        </x:is>
      </x:c>
      <x:c t="inlineStr" r="CE166">
        <x:is>
          <x:t>Rock In Rio</x:t>
        </x:is>
      </x:c>
      <x:c t="inlineStr" r="CF166"/>
    </x:row>
    <x:row r="167">
      <x:c t="n" r="A167">
        <x:v>762537339</x:v>
      </x:c>
      <x:c t="inlineStr" r="B167">
        <x:is>
          <x:t>18.08.2026</x:t>
        </x:is>
      </x:c>
      <x:c t="inlineStr" r="C167">
        <x:is>
          <x:t>17:04</x:t>
        </x:is>
      </x:c>
      <x:c t="inlineStr" r="D167">
        <x:is>
          <x:t>21.08.2026 15:06</x:t>
        </x:is>
      </x:c>
      <x:c t="inlineStr" r="E167">
        <x:is>
          <x:t/>
        </x:is>
      </x:c>
      <x:c t="str" r="F167">
        <x:v>O palco no Rock In Rio Brasil 2026 é dela. O ingresso pode ser seu.
🎟️ Resgate seu ingresso de gramado pelo app KMV usando pontos + dinheiro e ainda ganhe
R$ 100 em vale-combustível.
Depois é só fazer uma Parada Completa no Ipiranga e partir pro festival. 🚗⛽️
#Ipiranga #KMV #RockinRio2026</x:v>
      </x:c>
      <x:c t="inlineStr" r="G167">
        <x:is>
          <x:t/>
        </x:is>
      </x:c>
      <x:c t="inlineStr" r="H167"/>
      <x:c t="inlineStr" r="I167">
        <x:is>
          <x:t>Postar</x:t>
        </x:is>
      </x:c>
      <x:c t="inlineStr" r="J167">
        <x:is>
          <x:t>Imagem,Texto</x:t>
        </x:is>
      </x:c>
      <x:c t="inlineStr" r="K167">
        <x:is>
          <x:t>TwitterNote</x:t>
        </x:is>
      </x:c>
      <x:c r="L167">
        <x:f>HYPERLINK("https://x.com/infosluisasonza/status/2089805630986940602")</x:f>
      </x:c>
      <x:c t="inlineStr" r="M167">
        <x:is>
          <x:t>Negativo</x:t>
        </x:is>
      </x:c>
      <x:c t="inlineStr" r="N167">
        <x:is>
          <x:t>Infos Luísa Sonza</x:t>
        </x:is>
      </x:c>
      <x:c t="inlineStr" r="O167">
        <x:is>
          <x:t>infosluisasonza</x:t>
        </x:is>
      </x:c>
      <x:c r="P167">
        <x:f>HYPERLINK("http://x.com/infosluisasonza")</x:f>
      </x:c>
      <x:c t="n" r="Q167">
        <x:v>46045</x:v>
      </x:c>
      <x:c t="inlineStr" r="R167"/>
      <x:c t="inlineStr" r="S167"/>
      <x:c t="inlineStr" r="T167">
        <x:is>
          <x:t>x.com</x:t>
        </x:is>
      </x:c>
      <x:c t="inlineStr" r="U167"/>
      <x:c t="inlineStr" r="V167"/>
      <x:c t="inlineStr" r="W167"/>
      <x:c t="inlineStr" r="X167"/>
      <x:c t="inlineStr" r="Y167">
        <x:is>
          <x:t>Rede social</x:t>
        </x:is>
      </x:c>
      <x:c t="inlineStr" r="Z167">
        <x:is>
          <x:t>Português</x:t>
        </x:is>
      </x:c>
      <x:c t="inlineStr" r="AA167">
        <x:is>
          <x:t>Brasil</x:t>
        </x:is>
      </x:c>
      <x:c t="inlineStr" r="AB167"/>
      <x:c t="inlineStr" r="AC167"/>
      <x:c t="inlineStr" r="AD167"/>
      <x:c t="n" r="AE167">
        <x:v>17</x:v>
      </x:c>
      <x:c t="n" r="AF167">
        <x:v>21</x:v>
      </x:c>
      <x:c t="n" r="AG167">
        <x:v>17</x:v>
      </x:c>
      <x:c t="inlineStr" r="AH167"/>
      <x:c t="inlineStr" r="AI167"/>
      <x:c t="inlineStr" r="AJ167"/>
      <x:c t="inlineStr" r="AK167"/>
      <x:c t="inlineStr" r="AL167"/>
      <x:c t="inlineStr" r="AM167"/>
      <x:c t="inlineStr" r="AN167"/>
      <x:c t="n" r="AO167">
        <x:v>2</x:v>
      </x:c>
      <x:c t="n" r="AP167">
        <x:v>2</x:v>
      </x:c>
      <x:c t="n" r="AQ167">
        <x:v>1771</x:v>
      </x:c>
      <x:c t="inlineStr" r="AR167"/>
      <x:c t="inlineStr" r="AS167"/>
      <x:c t="inlineStr" r="AT167"/>
      <x:c t="n" r="AU167">
        <x:v>46045</x:v>
      </x:c>
      <x:c t="inlineStr" r="AV167"/>
      <x:c t="inlineStr" r="AW167">
        <x:is>
          <x:t>Ipiranga</x:t>
        </x:is>
      </x:c>
      <x:c t="inlineStr" r="AX167">
        <x:is>
          <x:t>text,poster</x:t>
        </x:is>
      </x:c>
      <x:c t="inlineStr" r="AY167">
        <x:is>
          <x:t/>
        </x:is>
      </x:c>
      <x:c t="inlineStr" r="AZ167">
        <x:is>
          <x:t/>
        </x:is>
      </x:c>
      <x:c t="inlineStr" r="BA167">
        <x:is>
          <x:t/>
        </x:is>
      </x:c>
      <x:c t="inlineStr" r="BB167">
        <x:is>
          <x:t>ILLUSTRATION</x:t>
        </x:is>
      </x:c>
      <x:c t="inlineStr" r="BC167">
        <x:is>
          <x:t>advertising</x:t>
        </x:is>
      </x:c>
      <x:c r="BD167">
        <x:f>HYPERLINK("https://pbs.twimg.com/media/HQB7JO-XcAAbxfF.jpg")</x:f>
      </x:c>
      <x:c t="inlineStr" r="BE167">
        <x:is>
          <x:t/>
        </x:is>
      </x:c>
      <x:c t="inlineStr" r="BF167">
        <x:is>
          <x:t>Não</x:t>
        </x:is>
      </x:c>
      <x:c t="inlineStr" r="BG167"/>
      <x:c t="inlineStr" r="BH167">
        <x:is>
          <x:t/>
        </x:is>
      </x:c>
      <x:c t="inlineStr" r="BI167">
        <x:is>
          <x:t>Promoção</x:t>
        </x:is>
      </x:c>
      <x:c t="inlineStr" r="BJ167"/>
      <x:c t="inlineStr" r="BK167">
        <x:is>
          <x:t>Campanha: Parada Completa,Ipiranga,App KMV,Rock In Rio</x:t>
        </x:is>
      </x:c>
      <x:c t="inlineStr" r="BL167"/>
      <x:c t="inlineStr" r="BM167"/>
      <x:c t="inlineStr" r="BN167"/>
      <x:c t="inlineStr" r="BO167"/>
      <x:c t="inlineStr" r="BP167"/>
      <x:c t="inlineStr" r="BQ167"/>
      <x:c t="inlineStr" r="BR167"/>
      <x:c t="inlineStr" r="BS167"/>
      <x:c t="inlineStr" r="BT167"/>
      <x:c t="inlineStr" r="BU167"/>
      <x:c t="inlineStr" r="BV167"/>
      <x:c t="inlineStr" r="BW167"/>
      <x:c t="inlineStr" r="BX167"/>
      <x:c t="inlineStr" r="BY167">
        <x:is>
          <x:t>Campanha: Parada Completa</x:t>
        </x:is>
      </x:c>
      <x:c t="inlineStr" r="BZ167">
        <x:is>
          <x:t>Ipiranga</x:t>
        </x:is>
      </x:c>
      <x:c t="inlineStr" r="CA167"/>
      <x:c t="inlineStr" r="CB167"/>
      <x:c t="inlineStr" r="CC167"/>
      <x:c t="inlineStr" r="CD167">
        <x:is>
          <x:t>App KMV</x:t>
        </x:is>
      </x:c>
      <x:c t="inlineStr" r="CE167">
        <x:is>
          <x:t>Rock In Rio</x:t>
        </x:is>
      </x:c>
      <x:c t="inlineStr" r="CF167"/>
    </x:row>
    <x:row r="168">
      <x:c t="n" r="A168">
        <x:v>1753767680</x:v>
      </x:c>
      <x:c t="inlineStr" r="B168">
        <x:is>
          <x:t>18.08.2026</x:t>
        </x:is>
      </x:c>
      <x:c t="inlineStr" r="C168">
        <x:is>
          <x:t>17:02</x:t>
        </x:is>
      </x:c>
      <x:c t="inlineStr" r="D168">
        <x:is>
          <x:t>18.08.2026 17:49</x:t>
        </x:is>
      </x:c>
      <x:c t="inlineStr" r="E168">
        <x:is>
          <x:t/>
        </x:is>
      </x:c>
      <x:c t="str" r="F168">
        <x:v>Resgate seu ingresso de gramado pelo app KMV usando seus pontos + dinheiro e ainda ganhe R$ 100 em vale-combustivel.
Garanta o ingresso no app KMV e faça uma Parada Completa no Posto Ipiranga: abasteça com Ipimax, passe na AmPm ou no Jet Oil.
Depois, é só se preparar pra aproveitar o festival. 🚗🎶 #Ipiranga #KMV #RockinRio2026</x:v>
      </x:c>
      <x:c t="inlineStr" r="G168">
        <x:is>
          <x:t/>
        </x:is>
      </x:c>
      <x:c t="inlineStr" r="H168"/>
      <x:c t="inlineStr" r="I168">
        <x:is>
          <x:t>Postar</x:t>
        </x:is>
      </x:c>
      <x:c t="inlineStr" r="J168">
        <x:is>
          <x:t>Texto,Imagem</x:t>
        </x:is>
      </x:c>
      <x:c t="inlineStr" r="K168"/>
      <x:c r="L168">
        <x:f>HYPERLINK("https://www.instagram.com/p/DcMbHfzhNM9/")</x:f>
      </x:c>
      <x:c t="inlineStr" r="M168">
        <x:is>
          <x:t>Negativo</x:t>
        </x:is>
      </x:c>
      <x:c t="inlineStr" r="N168">
        <x:is>
          <x:t>Infos Luísa Sonza</x:t>
        </x:is>
      </x:c>
      <x:c t="inlineStr" r="O168">
        <x:is>
          <x:t>infosluisasonza</x:t>
        </x:is>
      </x:c>
      <x:c r="P168">
        <x:f>HYPERLINK("https://www.instagram.com/infosluisasonza/")</x:f>
      </x:c>
      <x:c t="n" r="Q168">
        <x:v>41113</x:v>
      </x:c>
      <x:c t="inlineStr" r="R168"/>
      <x:c t="inlineStr" r="S168"/>
      <x:c t="inlineStr" r="T168">
        <x:is>
          <x:t>instagram.com</x:t>
        </x:is>
      </x:c>
      <x:c t="inlineStr" r="U168">
        <x:is>
          <x:t>Infos Luísa Sonza</x:t>
        </x:is>
      </x:c>
      <x:c r="V168">
        <x:f>HYPERLINK("https://www.instagram.com/infosluisasonza/")</x:f>
      </x:c>
      <x:c t="n" r="W168">
        <x:v>41113</x:v>
      </x:c>
      <x:c t="inlineStr" r="X168"/>
      <x:c t="inlineStr" r="Y168">
        <x:is>
          <x:t>Rede social</x:t>
        </x:is>
      </x:c>
      <x:c t="inlineStr" r="Z168">
        <x:is>
          <x:t>Português</x:t>
        </x:is>
      </x:c>
      <x:c t="inlineStr" r="AA168"/>
      <x:c t="inlineStr" r="AB168"/>
      <x:c t="inlineStr" r="AC168"/>
      <x:c t="inlineStr" r="AD168"/>
      <x:c t="n" r="AE168">
        <x:v>5</x:v>
      </x:c>
      <x:c t="n" r="AF168">
        <x:v>6</x:v>
      </x:c>
      <x:c t="n" r="AG168">
        <x:v>5</x:v>
      </x:c>
      <x:c t="inlineStr" r="AH168"/>
      <x:c t="inlineStr" r="AI168"/>
      <x:c t="inlineStr" r="AJ168"/>
      <x:c t="inlineStr" r="AK168"/>
      <x:c t="inlineStr" r="AL168"/>
      <x:c t="inlineStr" r="AM168"/>
      <x:c t="inlineStr" r="AN168"/>
      <x:c t="n" r="AO168">
        <x:v>1</x:v>
      </x:c>
      <x:c t="inlineStr" r="AP168"/>
      <x:c t="inlineStr" r="AQ168"/>
      <x:c t="inlineStr" r="AR168"/>
      <x:c t="inlineStr" r="AS168"/>
      <x:c t="inlineStr" r="AT168"/>
      <x:c t="n" r="AU168">
        <x:v>41113</x:v>
      </x:c>
      <x:c t="inlineStr" r="AV168"/>
      <x:c t="inlineStr" r="AW168">
        <x:is>
          <x:t>Ipiranga</x:t>
        </x:is>
      </x:c>
      <x:c t="inlineStr" r="AX168">
        <x:is>
          <x:t>text,poster</x:t>
        </x:is>
      </x:c>
      <x:c t="inlineStr" r="AY168">
        <x:is>
          <x:t/>
        </x:is>
      </x:c>
      <x:c t="inlineStr" r="AZ168">
        <x:is>
          <x:t/>
        </x:is>
      </x:c>
      <x:c t="inlineStr" r="BA168">
        <x:is>
          <x:t/>
        </x:is>
      </x:c>
      <x:c t="inlineStr" r="BB168">
        <x:is>
          <x:t>ILLUSTRATION</x:t>
        </x:is>
      </x:c>
      <x:c t="inlineStr" r="BC168">
        <x:is>
          <x:t>advertising</x:t>
        </x:is>
      </x:c>
      <x:c t="inlineStr" r="BD168">
        <x:is>
          <x:t>https://scontent-ams2-1.cdninstagram.com/v/t51.82787-15/777622063_18333121039286174_2654605196442980719_n.jpg?stp=dst-jpg_e35_tt6&amp;_nc_cat=102&amp;cb=30a688f7-66ad4956&amp;ig_cache_key=Mzk2NjY2NDYzNDI0OTA0MDcwMQ%3D%3D.3-ccb7-5-cb30a688f7-66ad4956&amp;ccb=7-5&amp;_nc_sid=a54f6b&amp;efg=eyJlZmdfdGFnIjoiYmVzdF9pbWFnZV91cmxnZW4uRkVFRC5DMyJ9&amp;_nc_ohc=FuGEOkfX4TQQ7kNvwGiZ8zm&amp;_nc_oc=Ado2LkNYTXvcbqnvw82VIU-2-sKC2oOyPO-V9c3-neYEa3DriydKggOQ36uooUYy_fM&amp;_nc_zt=23&amp;_nc_ht=scontent-ams2-1.cdninstagram.com&amp;edm=AJ7ooaQEAAAA&amp;_nc_gid=nxwXxF45EfuPyjjJgPjknQ&amp;oh=00_AQEub6U9_RslI2P3pGjIzJaCQFZOpXU243G1RLio6mnLsg&amp;oe=6A8A9D30</x:t>
        </x:is>
      </x:c>
      <x:c t="inlineStr" r="BE168">
        <x:is>
          <x:t/>
        </x:is>
      </x:c>
      <x:c t="inlineStr" r="BF168">
        <x:is>
          <x:t>Não</x:t>
        </x:is>
      </x:c>
      <x:c t="inlineStr" r="BG168"/>
      <x:c t="inlineStr" r="BH168">
        <x:is>
          <x:t/>
        </x:is>
      </x:c>
      <x:c t="inlineStr" r="BI168">
        <x:is>
          <x:t>Promoção</x:t>
        </x:is>
      </x:c>
      <x:c t="inlineStr" r="BJ168"/>
      <x:c t="inlineStr" r="BK168">
        <x:is>
          <x:t>Franquia - Jet Oil,Franquia - AmPm,Ipimax,Campanha: Parada Completa,Ipiranga,App KMV,Rock In Rio</x:t>
        </x:is>
      </x:c>
      <x:c t="inlineStr" r="BL168"/>
      <x:c t="inlineStr" r="BM168"/>
      <x:c t="inlineStr" r="BN168"/>
      <x:c t="inlineStr" r="BO168"/>
      <x:c t="inlineStr" r="BP168"/>
      <x:c t="inlineStr" r="BQ168"/>
      <x:c t="inlineStr" r="BR168"/>
      <x:c t="inlineStr" r="BS168"/>
      <x:c t="inlineStr" r="BT168"/>
      <x:c t="inlineStr" r="BU168"/>
      <x:c t="inlineStr" r="BV168">
        <x:is>
          <x:t>Franquia - AmPm</x:t>
        </x:is>
      </x:c>
      <x:c t="inlineStr" r="BW168">
        <x:is>
          <x:t>Ipimax</x:t>
        </x:is>
      </x:c>
      <x:c t="inlineStr" r="BX168">
        <x:is>
          <x:t>Franquia - Jet Oil</x:t>
        </x:is>
      </x:c>
      <x:c t="inlineStr" r="BY168">
        <x:is>
          <x:t>Campanha: Parada Completa</x:t>
        </x:is>
      </x:c>
      <x:c t="inlineStr" r="BZ168">
        <x:is>
          <x:t>Ipiranga</x:t>
        </x:is>
      </x:c>
      <x:c t="inlineStr" r="CA168"/>
      <x:c t="inlineStr" r="CB168"/>
      <x:c t="inlineStr" r="CC168"/>
      <x:c t="inlineStr" r="CD168">
        <x:is>
          <x:t>App KMV</x:t>
        </x:is>
      </x:c>
      <x:c t="inlineStr" r="CE168">
        <x:is>
          <x:t>Rock In Rio</x:t>
        </x:is>
      </x:c>
      <x:c t="inlineStr" r="CF168"/>
    </x:row>
    <x:row r="169">
      <x:c t="n" r="A169">
        <x:v>521832546</x:v>
      </x:c>
      <x:c t="inlineStr" r="B169">
        <x:is>
          <x:t>18.08.2026</x:t>
        </x:is>
      </x:c>
      <x:c t="inlineStr" r="C169">
        <x:is>
          <x:t>17:01</x:t>
        </x:is>
      </x:c>
      <x:c t="inlineStr" r="D169">
        <x:is>
          <x:t>21.08.2026 22:25</x:t>
        </x:is>
      </x:c>
      <x:c t="inlineStr" r="E169">
        <x:is>
          <x:t/>
        </x:is>
      </x:c>
      <x:c t="str" r="F169">
        <x:v>🎟️ Os ingressos para o show mais aguardado pelos fãs no Rock in Rio Brasil 2026 já estão disponíveis no app KMV. 
Resgate seu ingresso de gramado usando pontos + dinheiro e ainda ganhe R$ 100 em vale-combustível.
Faça uma Parada Completa no Posto Ipiranga: abasteça com Ipimax, passe na AmPm ou no Jet Oil e se prepare para curtir o melhor do festival.
#Ipiranga #KMV #RockinRio2026</x:v>
      </x:c>
      <x:c t="inlineStr" r="G169">
        <x:is>
          <x:t/>
        </x:is>
      </x:c>
      <x:c t="inlineStr" r="H169"/>
      <x:c t="inlineStr" r="I169">
        <x:is>
          <x:t>Repost</x:t>
        </x:is>
      </x:c>
      <x:c t="inlineStr" r="J169">
        <x:is>
          <x:t>Imagem,Texto</x:t>
        </x:is>
      </x:c>
      <x:c t="inlineStr" r="K169"/>
      <x:c r="L169">
        <x:f>HYPERLINK("https://x.com/DudaMacale/status/2089804791828423025")</x:f>
      </x:c>
      <x:c t="inlineStr" r="M169">
        <x:is>
          <x:t>Negativo</x:t>
        </x:is>
      </x:c>
      <x:c t="inlineStr" r="N169">
        <x:is>
          <x:t>Marys</x:t>
        </x:is>
      </x:c>
      <x:c t="inlineStr" r="O169">
        <x:is>
          <x:t>DudaMacale</x:t>
        </x:is>
      </x:c>
      <x:c r="P169">
        <x:f>HYPERLINK("http://x.com/DudaMacale")</x:f>
      </x:c>
      <x:c t="n" r="Q169">
        <x:v>57</x:v>
      </x:c>
      <x:c t="inlineStr" r="R169">
        <x:is>
          <x:t>Mulher</x:t>
        </x:is>
      </x:c>
      <x:c t="inlineStr" r="S169"/>
      <x:c t="inlineStr" r="T169">
        <x:is>
          <x:t>x.com</x:t>
        </x:is>
      </x:c>
      <x:c t="inlineStr" r="U169"/>
      <x:c t="inlineStr" r="V169"/>
      <x:c t="inlineStr" r="W169"/>
      <x:c t="inlineStr" r="X169"/>
      <x:c t="inlineStr" r="Y169">
        <x:is>
          <x:t>Rede social</x:t>
        </x:is>
      </x:c>
      <x:c t="inlineStr" r="Z169">
        <x:is>
          <x:t>Português</x:t>
        </x:is>
      </x:c>
      <x:c t="inlineStr" r="AA169">
        <x:is>
          <x:t>Brasil</x:t>
        </x:is>
      </x:c>
      <x:c t="inlineStr" r="AB169"/>
      <x:c t="inlineStr" r="AC169"/>
      <x:c t="inlineStr" r="AD169"/>
      <x:c t="inlineStr" r="AE169"/>
      <x:c t="n" r="AF169">
        <x:v>0</x:v>
      </x:c>
      <x:c t="inlineStr" r="AG169"/>
      <x:c t="inlineStr" r="AH169"/>
      <x:c t="inlineStr" r="AI169"/>
      <x:c t="inlineStr" r="AJ169"/>
      <x:c t="inlineStr" r="AK169"/>
      <x:c t="inlineStr" r="AL169"/>
      <x:c t="inlineStr" r="AM169"/>
      <x:c t="inlineStr" r="AN169"/>
      <x:c t="inlineStr" r="AO169"/>
      <x:c t="inlineStr" r="AP169"/>
      <x:c t="inlineStr" r="AQ169"/>
      <x:c t="inlineStr" r="AR169"/>
      <x:c t="inlineStr" r="AS169"/>
      <x:c t="inlineStr" r="AT169"/>
      <x:c t="n" r="AU169">
        <x:v>57</x:v>
      </x:c>
      <x:c t="inlineStr" r="AV169"/>
      <x:c t="inlineStr" r="AW169">
        <x:is>
          <x:t>Nike</x:t>
        </x:is>
      </x:c>
      <x:c t="inlineStr" r="AX169">
        <x:is>
          <x:t>text,poster</x:t>
        </x:is>
      </x:c>
      <x:c t="inlineStr" r="AY169">
        <x:is>
          <x:t/>
        </x:is>
      </x:c>
      <x:c t="inlineStr" r="AZ169">
        <x:is>
          <x:t/>
        </x:is>
      </x:c>
      <x:c t="inlineStr" r="BA169">
        <x:is>
          <x:t/>
        </x:is>
      </x:c>
      <x:c t="inlineStr" r="BB169">
        <x:is>
          <x:t>ILLUSTRATION</x:t>
        </x:is>
      </x:c>
      <x:c t="inlineStr" r="BC169">
        <x:is>
          <x:t>advertising</x:t>
        </x:is>
      </x:c>
      <x:c r="BD169">
        <x:f>HYPERLINK("https://pbs.twimg.com/media/HQBmAYHWQAAOE8H.jpg")</x:f>
      </x:c>
      <x:c t="inlineStr" r="BE169">
        <x:is>
          <x:t/>
        </x:is>
      </x:c>
      <x:c t="inlineStr" r="BF169">
        <x:is>
          <x:t>Não</x:t>
        </x:is>
      </x:c>
      <x:c t="inlineStr" r="BG169"/>
      <x:c t="inlineStr" r="BH169">
        <x:is>
          <x:t/>
        </x:is>
      </x:c>
      <x:c t="inlineStr" r="BI169">
        <x:is>
          <x:t>Giveaway</x:t>
        </x:is>
      </x:c>
      <x:c t="inlineStr" r="BJ169"/>
      <x:c t="inlineStr" r="BK169">
        <x:is>
          <x:t>Franquia - Jet Oil,Franquia - AmPm,Ipimax,Campanha: Parada Completa,Ipiranga,App KMV,Rock In Rio</x:t>
        </x:is>
      </x:c>
      <x:c t="inlineStr" r="BL169"/>
      <x:c t="inlineStr" r="BM169"/>
      <x:c t="inlineStr" r="BN169"/>
      <x:c t="inlineStr" r="BO169"/>
      <x:c t="inlineStr" r="BP169"/>
      <x:c t="inlineStr" r="BQ169"/>
      <x:c t="inlineStr" r="BR169"/>
      <x:c t="inlineStr" r="BS169"/>
      <x:c t="inlineStr" r="BT169"/>
      <x:c t="inlineStr" r="BU169"/>
      <x:c t="inlineStr" r="BV169">
        <x:is>
          <x:t>Franquia - AmPm</x:t>
        </x:is>
      </x:c>
      <x:c t="inlineStr" r="BW169">
        <x:is>
          <x:t>Ipimax</x:t>
        </x:is>
      </x:c>
      <x:c t="inlineStr" r="BX169">
        <x:is>
          <x:t>Franquia - Jet Oil</x:t>
        </x:is>
      </x:c>
      <x:c t="inlineStr" r="BY169">
        <x:is>
          <x:t>Campanha: Parada Completa</x:t>
        </x:is>
      </x:c>
      <x:c t="inlineStr" r="BZ169">
        <x:is>
          <x:t>Ipiranga</x:t>
        </x:is>
      </x:c>
      <x:c t="inlineStr" r="CA169"/>
      <x:c t="inlineStr" r="CB169"/>
      <x:c t="inlineStr" r="CC169"/>
      <x:c t="inlineStr" r="CD169">
        <x:is>
          <x:t>App KMV</x:t>
        </x:is>
      </x:c>
      <x:c t="inlineStr" r="CE169">
        <x:is>
          <x:t>Rock In Rio</x:t>
        </x:is>
      </x:c>
      <x:c t="inlineStr" r="CF169"/>
    </x:row>
    <x:row r="170">
      <x:c t="n" r="A170">
        <x:v>2664642356</x:v>
      </x:c>
      <x:c t="inlineStr" r="B170">
        <x:is>
          <x:t>18.08.2026</x:t>
        </x:is>
      </x:c>
      <x:c t="inlineStr" r="C170">
        <x:is>
          <x:t>17:00</x:t>
        </x:is>
      </x:c>
      <x:c t="inlineStr" r="D170">
        <x:is>
          <x:t>18.08.2026 17:08</x:t>
        </x:is>
      </x:c>
      <x:c t="inlineStr" r="E170">
        <x:is>
          <x:t/>
        </x:is>
      </x:c>
      <x:c t="str" r="F170">
        <x:v>🎟️ Os ingressos para o show mais aguardado pelos fãs no Rock in Rio Brasil 2026 já estão disponíveis no app KMV. 
Resgate seu ingresso de gramado usando pontos + dinheiro e ainda ganhe R$ 100 em vale-combustível.
Faça uma Parada Completa no Posto Ipiranga: abasteça com Ipimax, passe na AmPm ou no Jet Oil e se prepare para curtir o melhor do festival.
#Ipiranga #KMV #RockinRio2026</x:v>
      </x:c>
      <x:c t="inlineStr" r="G170">
        <x:is>
          <x:t/>
        </x:is>
      </x:c>
      <x:c t="inlineStr" r="H170"/>
      <x:c t="inlineStr" r="I170">
        <x:is>
          <x:t>Postar</x:t>
        </x:is>
      </x:c>
      <x:c t="inlineStr" r="J170">
        <x:is>
          <x:t>Imagem,Texto</x:t>
        </x:is>
      </x:c>
      <x:c t="inlineStr" r="K170">
        <x:is>
          <x:t>TwitterNote</x:t>
        </x:is>
      </x:c>
      <x:c r="L170">
        <x:f>HYPERLINK("https://x.com/spookycliquebr/status/2089804707652915318")</x:f>
      </x:c>
      <x:c t="inlineStr" r="M170">
        <x:is>
          <x:t>Negativo</x:t>
        </x:is>
      </x:c>
      <x:c t="inlineStr" r="N170">
        <x:is>
          <x:t>spooky clique 🇧🇷</x:t>
        </x:is>
      </x:c>
      <x:c t="inlineStr" r="O170">
        <x:is>
          <x:t>spookycliquebr</x:t>
        </x:is>
      </x:c>
      <x:c r="P170">
        <x:f>HYPERLINK("http://x.com/spookycliquebr")</x:f>
      </x:c>
      <x:c t="n" r="Q170">
        <x:v>31654</x:v>
      </x:c>
      <x:c t="inlineStr" r="R170"/>
      <x:c t="inlineStr" r="S170"/>
      <x:c t="inlineStr" r="T170">
        <x:is>
          <x:t>x.com</x:t>
        </x:is>
      </x:c>
      <x:c t="inlineStr" r="U170"/>
      <x:c t="inlineStr" r="V170"/>
      <x:c t="inlineStr" r="W170"/>
      <x:c t="inlineStr" r="X170"/>
      <x:c t="inlineStr" r="Y170">
        <x:is>
          <x:t>Rede social</x:t>
        </x:is>
      </x:c>
      <x:c t="inlineStr" r="Z170">
        <x:is>
          <x:t>Português</x:t>
        </x:is>
      </x:c>
      <x:c t="inlineStr" r="AA170">
        <x:is>
          <x:t>Brasil</x:t>
        </x:is>
      </x:c>
      <x:c t="inlineStr" r="AB170"/>
      <x:c t="inlineStr" r="AC170"/>
      <x:c t="inlineStr" r="AD170"/>
      <x:c t="n" r="AE170">
        <x:v>32</x:v>
      </x:c>
      <x:c t="n" r="AF170">
        <x:v>39</x:v>
      </x:c>
      <x:c t="n" r="AG170">
        <x:v>32</x:v>
      </x:c>
      <x:c t="inlineStr" r="AH170"/>
      <x:c t="inlineStr" r="AI170"/>
      <x:c t="inlineStr" r="AJ170"/>
      <x:c t="inlineStr" r="AK170"/>
      <x:c t="inlineStr" r="AL170"/>
      <x:c t="inlineStr" r="AM170"/>
      <x:c t="inlineStr" r="AN170"/>
      <x:c t="n" r="AO170">
        <x:v>1</x:v>
      </x:c>
      <x:c t="n" r="AP170">
        <x:v>6</x:v>
      </x:c>
      <x:c t="n" r="AQ170">
        <x:v>3098</x:v>
      </x:c>
      <x:c t="inlineStr" r="AR170"/>
      <x:c t="inlineStr" r="AS170"/>
      <x:c t="n" r="AT170">
        <x:v>4</x:v>
      </x:c>
      <x:c t="n" r="AU170">
        <x:v>31654</x:v>
      </x:c>
      <x:c t="inlineStr" r="AV170"/>
      <x:c t="inlineStr" r="AW170">
        <x:is>
          <x:t/>
        </x:is>
      </x:c>
      <x:c t="inlineStr" r="AX170">
        <x:is>
          <x:t>text,poster</x:t>
        </x:is>
      </x:c>
      <x:c t="inlineStr" r="AY170">
        <x:is>
          <x:t/>
        </x:is>
      </x:c>
      <x:c t="inlineStr" r="AZ170">
        <x:is>
          <x:t/>
        </x:is>
      </x:c>
      <x:c t="inlineStr" r="BA170">
        <x:is>
          <x:t/>
        </x:is>
      </x:c>
      <x:c t="inlineStr" r="BB170">
        <x:is>
          <x:t>ILLUSTRATION</x:t>
        </x:is>
      </x:c>
      <x:c t="inlineStr" r="BC170">
        <x:is>
          <x:t>advertising</x:t>
        </x:is>
      </x:c>
      <x:c r="BD170">
        <x:f>HYPERLINK("https://pbs.twimg.com/media/HQBmAYHWQAAOE8H.jpg")</x:f>
      </x:c>
      <x:c t="inlineStr" r="BE170">
        <x:is>
          <x:t/>
        </x:is>
      </x:c>
      <x:c t="inlineStr" r="BF170">
        <x:is>
          <x:t>Não</x:t>
        </x:is>
      </x:c>
      <x:c t="inlineStr" r="BG170"/>
      <x:c t="inlineStr" r="BH170">
        <x:is>
          <x:t/>
        </x:is>
      </x:c>
      <x:c t="inlineStr" r="BI170">
        <x:is>
          <x:t>Giveaway</x:t>
        </x:is>
      </x:c>
      <x:c t="inlineStr" r="BJ170"/>
      <x:c t="inlineStr" r="BK170">
        <x:is>
          <x:t>Franquia - Jet Oil,Franquia - AmPm,Ipimax,Campanha: Parada Completa,Ipiranga,App KMV,Rock In Rio</x:t>
        </x:is>
      </x:c>
      <x:c t="inlineStr" r="BL170"/>
      <x:c t="inlineStr" r="BM170"/>
      <x:c t="inlineStr" r="BN170"/>
      <x:c t="inlineStr" r="BO170"/>
      <x:c t="inlineStr" r="BP170"/>
      <x:c t="inlineStr" r="BQ170"/>
      <x:c t="inlineStr" r="BR170"/>
      <x:c t="inlineStr" r="BS170"/>
      <x:c t="inlineStr" r="BT170"/>
      <x:c t="inlineStr" r="BU170"/>
      <x:c t="inlineStr" r="BV170">
        <x:is>
          <x:t>Franquia - AmPm</x:t>
        </x:is>
      </x:c>
      <x:c t="inlineStr" r="BW170">
        <x:is>
          <x:t>Ipimax</x:t>
        </x:is>
      </x:c>
      <x:c t="inlineStr" r="BX170">
        <x:is>
          <x:t>Franquia - Jet Oil</x:t>
        </x:is>
      </x:c>
      <x:c t="inlineStr" r="BY170">
        <x:is>
          <x:t>Campanha: Parada Completa</x:t>
        </x:is>
      </x:c>
      <x:c t="inlineStr" r="BZ170">
        <x:is>
          <x:t>Ipiranga</x:t>
        </x:is>
      </x:c>
      <x:c t="inlineStr" r="CA170"/>
      <x:c t="inlineStr" r="CB170"/>
      <x:c t="inlineStr" r="CC170"/>
      <x:c t="inlineStr" r="CD170">
        <x:is>
          <x:t>App KMV</x:t>
        </x:is>
      </x:c>
      <x:c t="inlineStr" r="CE170">
        <x:is>
          <x:t>Rock In Rio</x:t>
        </x:is>
      </x:c>
      <x:c t="inlineStr" r="CF170"/>
    </x:row>
    <x:row r="171">
      <x:c t="n" r="A171">
        <x:v>2193481624</x:v>
      </x:c>
      <x:c t="inlineStr" r="B171">
        <x:is>
          <x:t>18.08.2026</x:t>
        </x:is>
      </x:c>
      <x:c t="inlineStr" r="C171">
        <x:is>
          <x:t>17:00</x:t>
        </x:is>
      </x:c>
      <x:c t="inlineStr" r="D171">
        <x:is>
          <x:t>18.08.2026 17:49</x:t>
        </x:is>
      </x:c>
      <x:c t="inlineStr" r="E171">
        <x:is>
          <x:t/>
        </x:is>
      </x:c>
      <x:c t="str" r="F171">
        <x:v>🎟️ Os ingressos para o show mais aguardado pelos fãs no Rock in Rio Brasil 2026 já estão disponíveis no app KMV. 
Resgate seu ingresso de gramado usando pontos + dinheiro e ainda ganhe R$ 100 em vale-combustível.
Faça uma Parada Completa no Posto Ipiranga: abasteça com Ipimax, passe na AmPm ou no Jet Oil e se prepare para curtir o melhor do festival.
#Ipiranga #KMV #RockinRio2026</x:v>
      </x:c>
      <x:c t="inlineStr" r="G171">
        <x:is>
          <x:t/>
        </x:is>
      </x:c>
      <x:c t="inlineStr" r="H171"/>
      <x:c t="inlineStr" r="I171">
        <x:is>
          <x:t>Postar</x:t>
        </x:is>
      </x:c>
      <x:c t="inlineStr" r="J171">
        <x:is>
          <x:t>Texto,Imagem</x:t>
        </x:is>
      </x:c>
      <x:c t="inlineStr" r="K171"/>
      <x:c r="L171">
        <x:f>HYPERLINK("https://www.instagram.com/p/DcL-W9Fuwq6/")</x:f>
      </x:c>
      <x:c t="inlineStr" r="M171">
        <x:is>
          <x:t>Negativo</x:t>
        </x:is>
      </x:c>
      <x:c t="inlineStr" r="N171">
        <x:is>
          <x:t>SPOOKY CLIQUE 🇧🇷 | twenty one pilots Brasil</x:t>
        </x:is>
      </x:c>
      <x:c t="inlineStr" r="O171">
        <x:is>
          <x:t>spookycliquebr</x:t>
        </x:is>
      </x:c>
      <x:c r="P171">
        <x:f>HYPERLINK("https://www.instagram.com/spookycliquebr/")</x:f>
      </x:c>
      <x:c t="n" r="Q171">
        <x:v>7855</x:v>
      </x:c>
      <x:c t="inlineStr" r="R171"/>
      <x:c t="inlineStr" r="S171"/>
      <x:c t="inlineStr" r="T171">
        <x:is>
          <x:t>instagram.com</x:t>
        </x:is>
      </x:c>
      <x:c t="inlineStr" r="U171">
        <x:is>
          <x:t>SPOOKY CLIQUE 🇧🇷 | twenty one pilots Brasil</x:t>
        </x:is>
      </x:c>
      <x:c r="V171">
        <x:f>HYPERLINK("https://www.instagram.com/spookycliquebr/")</x:f>
      </x:c>
      <x:c t="n" r="W171">
        <x:v>7855</x:v>
      </x:c>
      <x:c t="inlineStr" r="X171"/>
      <x:c t="inlineStr" r="Y171">
        <x:is>
          <x:t>Rede social</x:t>
        </x:is>
      </x:c>
      <x:c t="inlineStr" r="Z171">
        <x:is>
          <x:t>Português</x:t>
        </x:is>
      </x:c>
      <x:c t="inlineStr" r="AA171"/>
      <x:c t="inlineStr" r="AB171"/>
      <x:c t="inlineStr" r="AC171"/>
      <x:c t="inlineStr" r="AD171"/>
      <x:c t="n" r="AE171">
        <x:v>29</x:v>
      </x:c>
      <x:c t="n" r="AF171">
        <x:v>29</x:v>
      </x:c>
      <x:c t="n" r="AG171">
        <x:v>29</x:v>
      </x:c>
      <x:c t="inlineStr" r="AH171"/>
      <x:c t="inlineStr" r="AI171"/>
      <x:c t="inlineStr" r="AJ171"/>
      <x:c t="inlineStr" r="AK171"/>
      <x:c t="inlineStr" r="AL171"/>
      <x:c t="inlineStr" r="AM171"/>
      <x:c t="inlineStr" r="AN171"/>
      <x:c t="n" r="AO171">
        <x:v>0</x:v>
      </x:c>
      <x:c t="inlineStr" r="AP171"/>
      <x:c t="inlineStr" r="AQ171"/>
      <x:c t="inlineStr" r="AR171"/>
      <x:c t="inlineStr" r="AS171"/>
      <x:c t="inlineStr" r="AT171"/>
      <x:c t="n" r="AU171">
        <x:v>7855</x:v>
      </x:c>
      <x:c t="inlineStr" r="AV171"/>
      <x:c t="inlineStr" r="AW171">
        <x:is>
          <x:t/>
        </x:is>
      </x:c>
      <x:c t="inlineStr" r="AX171">
        <x:is>
          <x:t>text,poster</x:t>
        </x:is>
      </x:c>
      <x:c t="inlineStr" r="AY171">
        <x:is>
          <x:t/>
        </x:is>
      </x:c>
      <x:c t="inlineStr" r="AZ171">
        <x:is>
          <x:t/>
        </x:is>
      </x:c>
      <x:c t="inlineStr" r="BA171">
        <x:is>
          <x:t/>
        </x:is>
      </x:c>
      <x:c t="inlineStr" r="BB171">
        <x:is>
          <x:t>ILLUSTRATION</x:t>
        </x:is>
      </x:c>
      <x:c t="inlineStr" r="BC171">
        <x:is>
          <x:t>advertising</x:t>
        </x:is>
      </x:c>
      <x:c t="inlineStr" r="BD171">
        <x:is>
          <x:t>https://scontent-ams2-1.cdninstagram.com/v/t51.82787-15/775799402_18488207857098473_3193740323709345746_n.jpg?stp=dst-jpg_e35_tt6&amp;_nc_cat=103&amp;cb=30a688f7-66ad4956&amp;ig_cache_key=Mzk2NjUzODE1MzEzNjQyNTY1OA%3D%3D.3-ccb7-5-cb30a688f7-66ad4956&amp;ccb=7-5&amp;_nc_sid=a54f6b&amp;efg=eyJlZmdfdGFnIjoiYmVzdF9pbWFnZV91cmxnZW4uRkVFRC5DMyJ9&amp;_nc_ohc=VMftD-1ti_8Q7kNvwHE0sGM&amp;_nc_oc=AdpR99HjnlSORocSwZ9DZwq68zLi4eWdgyuxd2FFaHP_6t7Nx6iR5n_Cmzz9b5sRG74&amp;_nc_zt=23&amp;_nc_ht=scontent-ams2-1.cdninstagram.com&amp;edm=AJ7ooaQEAAAA&amp;_nc_gid=nxwXxF45EfuPyjjJgPjknQ&amp;oh=00_AQESWuyHeWpG2ZIthVxcUQbAteKccs46L-frfCBBZ853tA&amp;oe=6A8A7738</x:t>
        </x:is>
      </x:c>
      <x:c t="inlineStr" r="BE171">
        <x:is>
          <x:t/>
        </x:is>
      </x:c>
      <x:c t="inlineStr" r="BF171">
        <x:is>
          <x:t>Não</x:t>
        </x:is>
      </x:c>
      <x:c t="inlineStr" r="BG171"/>
      <x:c t="inlineStr" r="BH171">
        <x:is>
          <x:t/>
        </x:is>
      </x:c>
      <x:c t="inlineStr" r="BI171">
        <x:is>
          <x:t>Giveaway</x:t>
        </x:is>
      </x:c>
      <x:c t="inlineStr" r="BJ171"/>
      <x:c t="inlineStr" r="BK171">
        <x:is>
          <x:t>Franquia - Jet Oil,Franquia - AmPm,Ipimax,Campanha: Parada Completa,Ipiranga,App KMV,Rock In Rio</x:t>
        </x:is>
      </x:c>
      <x:c t="inlineStr" r="BL171"/>
      <x:c t="inlineStr" r="BM171"/>
      <x:c t="inlineStr" r="BN171"/>
      <x:c t="inlineStr" r="BO171"/>
      <x:c t="inlineStr" r="BP171"/>
      <x:c t="inlineStr" r="BQ171"/>
      <x:c t="inlineStr" r="BR171"/>
      <x:c t="inlineStr" r="BS171"/>
      <x:c t="inlineStr" r="BT171"/>
      <x:c t="inlineStr" r="BU171"/>
      <x:c t="inlineStr" r="BV171">
        <x:is>
          <x:t>Franquia - AmPm</x:t>
        </x:is>
      </x:c>
      <x:c t="inlineStr" r="BW171">
        <x:is>
          <x:t>Ipimax</x:t>
        </x:is>
      </x:c>
      <x:c t="inlineStr" r="BX171">
        <x:is>
          <x:t>Franquia - Jet Oil</x:t>
        </x:is>
      </x:c>
      <x:c t="inlineStr" r="BY171">
        <x:is>
          <x:t>Campanha: Parada Completa</x:t>
        </x:is>
      </x:c>
      <x:c t="inlineStr" r="BZ171">
        <x:is>
          <x:t>Ipiranga</x:t>
        </x:is>
      </x:c>
      <x:c t="inlineStr" r="CA171"/>
      <x:c t="inlineStr" r="CB171"/>
      <x:c t="inlineStr" r="CC171"/>
      <x:c t="inlineStr" r="CD171">
        <x:is>
          <x:t>App KMV</x:t>
        </x:is>
      </x:c>
      <x:c t="inlineStr" r="CE171">
        <x:is>
          <x:t>Rock In Rio</x:t>
        </x:is>
      </x:c>
      <x:c t="inlineStr" r="CF171"/>
    </x:row>
    <x:row r="172">
      <x:c t="n" r="A172">
        <x:v>1596827272</x:v>
      </x:c>
      <x:c t="inlineStr" r="B172">
        <x:is>
          <x:t>18.08.2026</x:t>
        </x:is>
      </x:c>
      <x:c t="inlineStr" r="C172">
        <x:is>
          <x:t>17:00</x:t>
        </x:is>
      </x:c>
      <x:c t="inlineStr" r="D172">
        <x:is>
          <x:t>19.08.2026 14:51</x:t>
        </x:is>
      </x:c>
      <x:c t="inlineStr" r="E172">
        <x:is>
          <x:t/>
        </x:is>
      </x:c>
      <x:c t="str" r="F172">
        <x:v>🎟️ Os ingressos de gramado para já estão disponíveis no app KMV. Resgate o seu usando pontos + dinheiro e ainda ganhe R$ 100 em vale-combustível.
Depois, é só fazer uma Parada Completa no Posto Ipiranga: abastecer com Ipimax, passar na AmPm ou no Jet Oil e seguir rumo ao Rock in Rio. 🤘⛽ 
#Ipiranga #KMV #RockinRio2026</x:v>
      </x:c>
      <x:c t="inlineStr" r="G172">
        <x:is>
          <x:t/>
        </x:is>
      </x:c>
      <x:c t="inlineStr" r="H172"/>
      <x:c t="inlineStr" r="I172">
        <x:is>
          <x:t>Postar</x:t>
        </x:is>
      </x:c>
      <x:c t="inlineStr" r="J172">
        <x:is>
          <x:t>Texto,Álbum,Imagem</x:t>
        </x:is>
      </x:c>
      <x:c t="inlineStr" r="K172"/>
      <x:c r="L172">
        <x:f>HYPERLINK("https://www.instagram.com/p/DcMbA9okaiH/")</x:f>
      </x:c>
      <x:c t="inlineStr" r="M172">
        <x:is>
          <x:t>Negativo</x:t>
        </x:is>
      </x:c>
      <x:c t="inlineStr" r="N172">
        <x:is>
          <x:t>Avenged Sevenfold Frases &amp; Versos 🇧🇷</x:t>
        </x:is>
      </x:c>
      <x:c t="inlineStr" r="O172">
        <x:is>
          <x:t>a7x_frases_versos</x:t>
        </x:is>
      </x:c>
      <x:c r="P172">
        <x:f>HYPERLINK("http://instagram.com/a7x_frases_versos")</x:f>
      </x:c>
      <x:c t="n" r="Q172">
        <x:v>55026</x:v>
      </x:c>
      <x:c t="inlineStr" r="R172"/>
      <x:c t="inlineStr" r="S172"/>
      <x:c t="inlineStr" r="T172">
        <x:is>
          <x:t>instagram.com</x:t>
        </x:is>
      </x:c>
      <x:c t="inlineStr" r="U172">
        <x:is>
          <x:t>Avenged Sevenfold Frases &amp; Versos 🇧🇷</x:t>
        </x:is>
      </x:c>
      <x:c r="V172">
        <x:f>HYPERLINK("http://instagram.com/a7x_frases_versos")</x:f>
      </x:c>
      <x:c t="n" r="W172">
        <x:v>55026</x:v>
      </x:c>
      <x:c t="inlineStr" r="X172"/>
      <x:c t="inlineStr" r="Y172">
        <x:is>
          <x:t>Rede social</x:t>
        </x:is>
      </x:c>
      <x:c t="inlineStr" r="Z172">
        <x:is>
          <x:t>Português</x:t>
        </x:is>
      </x:c>
      <x:c t="inlineStr" r="AA172"/>
      <x:c t="inlineStr" r="AB172"/>
      <x:c t="inlineStr" r="AC172"/>
      <x:c t="inlineStr" r="AD172"/>
      <x:c t="n" r="AE172">
        <x:v>96</x:v>
      </x:c>
      <x:c t="n" r="AF172">
        <x:v>96</x:v>
      </x:c>
      <x:c t="n" r="AG172">
        <x:v>96</x:v>
      </x:c>
      <x:c t="inlineStr" r="AH172"/>
      <x:c t="inlineStr" r="AI172"/>
      <x:c t="inlineStr" r="AJ172"/>
      <x:c t="inlineStr" r="AK172"/>
      <x:c t="inlineStr" r="AL172"/>
      <x:c t="inlineStr" r="AM172"/>
      <x:c t="inlineStr" r="AN172"/>
      <x:c t="n" r="AO172">
        <x:v>0</x:v>
      </x:c>
      <x:c t="inlineStr" r="AP172"/>
      <x:c t="inlineStr" r="AQ172"/>
      <x:c t="inlineStr" r="AR172"/>
      <x:c t="inlineStr" r="AS172"/>
      <x:c t="inlineStr" r="AT172"/>
      <x:c t="n" r="AU172">
        <x:v>55026</x:v>
      </x:c>
      <x:c t="inlineStr" r="AV172"/>
      <x:c t="inlineStr" r="AW172">
        <x:is>
          <x:t/>
        </x:is>
      </x:c>
      <x:c t="inlineStr" r="AX172">
        <x:is>
          <x:t>text,poster</x:t>
        </x:is>
      </x:c>
      <x:c t="inlineStr" r="AY172">
        <x:is>
          <x:t/>
        </x:is>
      </x:c>
      <x:c t="inlineStr" r="AZ172">
        <x:is>
          <x:t/>
        </x:is>
      </x:c>
      <x:c t="inlineStr" r="BA172">
        <x:is>
          <x:t/>
        </x:is>
      </x:c>
      <x:c t="inlineStr" r="BB172">
        <x:is>
          <x:t>ILLUSTRATION</x:t>
        </x:is>
      </x:c>
      <x:c t="inlineStr" r="BC172">
        <x:is>
          <x:t>advertising</x:t>
        </x:is>
      </x:c>
      <x:c t="inlineStr" r="BD172">
        <x:is>
          <x:t>https://scontent-sin2-3.cdninstagram.com/v/t51.82787-15/778318627_18575558521071342_4359470087625656739_n.jpg?stp=dst-jpg_e35_tt6&amp;_nc_cat=107&amp;ig_cache_key=Mzk2NjU2Njk5MDg5NDY3NjU0MQ%3D%3D.3-ccb7-5&amp;ccb=7-5&amp;_nc_sid=58cdad&amp;efg=eyJ2ZW5jb2RlX3RhZyI6IkNBUk9VU0VMX0lURU0ueHBpZHMuMTA4MC5zZHIucmVndWxhcl9waG90by5DMyJ9&amp;_nc_ohc=rwrrdxBtN-4Q7kNvwED2s0f&amp;_nc_oc=AdprZlWIAqMJ1yNvxqJPzFb-Q0NwkJ0X3eBCv4uheHE0sh0hI9sOCzObcz2AVv4vp6k&amp;_nc_zt=23&amp;_nc_ht=scontent-sin2-3.cdninstagram.com&amp;_nc_gid=hVUJBBRZPcjoYfpRTmDMVQ&amp;_nc_ss=70a8c&amp;oh=00_AQH93AFj1DiLP4EDfAJ3T2fCuFrELBHsZfuwqQvbGegXIg&amp;oe=6A8BD786</x:t>
        </x:is>
      </x:c>
      <x:c t="inlineStr" r="BE172">
        <x:is>
          <x:t/>
        </x:is>
      </x:c>
      <x:c t="inlineStr" r="BF172">
        <x:is>
          <x:t>Não</x:t>
        </x:is>
      </x:c>
      <x:c t="inlineStr" r="BG172"/>
      <x:c t="inlineStr" r="BH172">
        <x:is>
          <x:t/>
        </x:is>
      </x:c>
      <x:c t="inlineStr" r="BI172">
        <x:is>
          <x:t/>
        </x:is>
      </x:c>
      <x:c t="inlineStr" r="BJ172"/>
      <x:c t="inlineStr" r="BK172">
        <x:is>
          <x:t>Franquia - Jet Oil,Franquia - AmPm,Ipimax,Campanha: Parada Completa,Ipiranga,App KMV,Rock In Rio</x:t>
        </x:is>
      </x:c>
      <x:c t="inlineStr" r="BL172"/>
      <x:c t="inlineStr" r="BM172"/>
      <x:c t="inlineStr" r="BN172"/>
      <x:c t="inlineStr" r="BO172"/>
      <x:c t="inlineStr" r="BP172"/>
      <x:c t="inlineStr" r="BQ172"/>
      <x:c t="inlineStr" r="BR172"/>
      <x:c t="inlineStr" r="BS172"/>
      <x:c t="inlineStr" r="BT172"/>
      <x:c t="inlineStr" r="BU172"/>
      <x:c t="inlineStr" r="BV172">
        <x:is>
          <x:t>Franquia - AmPm</x:t>
        </x:is>
      </x:c>
      <x:c t="inlineStr" r="BW172">
        <x:is>
          <x:t>Ipimax</x:t>
        </x:is>
      </x:c>
      <x:c t="inlineStr" r="BX172">
        <x:is>
          <x:t>Franquia - Jet Oil</x:t>
        </x:is>
      </x:c>
      <x:c t="inlineStr" r="BY172">
        <x:is>
          <x:t>Campanha: Parada Completa</x:t>
        </x:is>
      </x:c>
      <x:c t="inlineStr" r="BZ172">
        <x:is>
          <x:t>Ipiranga</x:t>
        </x:is>
      </x:c>
      <x:c t="inlineStr" r="CA172"/>
      <x:c t="inlineStr" r="CB172"/>
      <x:c t="inlineStr" r="CC172"/>
      <x:c t="inlineStr" r="CD172">
        <x:is>
          <x:t>App KMV</x:t>
        </x:is>
      </x:c>
      <x:c t="inlineStr" r="CE172">
        <x:is>
          <x:t>Rock In Rio</x:t>
        </x:is>
      </x:c>
      <x:c t="inlineStr" r="CF172"/>
    </x:row>
    <x:row r="173">
      <x:c t="n" r="A173">
        <x:v>1035302174</x:v>
      </x:c>
      <x:c t="inlineStr" r="B173">
        <x:is>
          <x:t>17.08.2026</x:t>
        </x:is>
      </x:c>
      <x:c t="inlineStr" r="C173">
        <x:is>
          <x:t>15:10</x:t>
        </x:is>
      </x:c>
      <x:c t="inlineStr" r="D173">
        <x:is>
          <x:t>19.08.2026 19:42</x:t>
        </x:is>
      </x:c>
      <x:c t="inlineStr" r="E173">
        <x:is>
          <x:t/>
        </x:is>
      </x:c>
      <x:c t="inlineStr" r="F173">
        <x:is>
          <x:t>Ipi, a gnt tem um pedido que precisa chegar até vocês: LEVEM A SAMI PRO ROCK IN RIO! Ela tem carisma, presença e energia de sobra pra viver esse momento, e seria PERFEITO ver a Sami representando o Ipiranga no festival! 👀Bora transformar esse pedido em realidade? SAMI NO RIR! 🎸</x:t>
        </x:is>
      </x:c>
      <x:c t="inlineStr" r="G173">
        <x:is>
          <x:t/>
        </x:is>
      </x:c>
      <x:c t="inlineStr" r="H173"/>
      <x:c t="inlineStr" r="I173">
        <x:is>
          <x:t>Repost</x:t>
        </x:is>
      </x:c>
      <x:c t="inlineStr" r="J173">
        <x:is>
          <x:t>Imagem,Texto</x:t>
        </x:is>
      </x:c>
      <x:c t="inlineStr" r="K173"/>
      <x:c r="L173">
        <x:f>HYPERLINK("https://x.com/bbarcxs/status/2089414605168656645")</x:f>
      </x:c>
      <x:c t="inlineStr" r="M173">
        <x:is>
          <x:t>Negativo</x:t>
        </x:is>
      </x:c>
      <x:c t="inlineStr" r="N173">
        <x:is>
          <x:t>beatriz</x:t>
        </x:is>
      </x:c>
      <x:c t="inlineStr" r="O173">
        <x:is>
          <x:t>bbarcxs</x:t>
        </x:is>
      </x:c>
      <x:c r="P173">
        <x:f>HYPERLINK("http://x.com/bbarcxs")</x:f>
      </x:c>
      <x:c t="n" r="Q173">
        <x:v>870</x:v>
      </x:c>
      <x:c t="inlineStr" r="R173">
        <x:is>
          <x:t>Mulher</x:t>
        </x:is>
      </x:c>
      <x:c t="inlineStr" r="S173"/>
      <x:c t="inlineStr" r="T173">
        <x:is>
          <x:t>x.com</x:t>
        </x:is>
      </x:c>
      <x:c t="inlineStr" r="U173"/>
      <x:c t="inlineStr" r="V173"/>
      <x:c t="inlineStr" r="W173"/>
      <x:c t="inlineStr" r="X173"/>
      <x:c t="inlineStr" r="Y173">
        <x:is>
          <x:t>Rede social</x:t>
        </x:is>
      </x:c>
      <x:c t="inlineStr" r="Z173">
        <x:is>
          <x:t>Português</x:t>
        </x:is>
      </x:c>
      <x:c t="inlineStr" r="AA173">
        <x:is>
          <x:t>Brasil</x:t>
        </x:is>
      </x:c>
      <x:c t="inlineStr" r="AB173"/>
      <x:c t="inlineStr" r="AC173"/>
      <x:c t="inlineStr" r="AD173"/>
      <x:c t="inlineStr" r="AE173"/>
      <x:c t="n" r="AF173">
        <x:v>0</x:v>
      </x:c>
      <x:c t="inlineStr" r="AG173"/>
      <x:c t="inlineStr" r="AH173"/>
      <x:c t="inlineStr" r="AI173"/>
      <x:c t="inlineStr" r="AJ173"/>
      <x:c t="inlineStr" r="AK173"/>
      <x:c t="inlineStr" r="AL173"/>
      <x:c t="inlineStr" r="AM173"/>
      <x:c t="inlineStr" r="AN173"/>
      <x:c t="inlineStr" r="AO173"/>
      <x:c t="inlineStr" r="AP173"/>
      <x:c t="inlineStr" r="AQ173"/>
      <x:c t="inlineStr" r="AR173"/>
      <x:c t="inlineStr" r="AS173"/>
      <x:c t="inlineStr" r="AT173"/>
      <x:c t="n" r="AU173">
        <x:v>870</x:v>
      </x:c>
      <x:c t="inlineStr" r="AV173"/>
      <x:c t="inlineStr" r="AW173">
        <x:is>
          <x:t>Ipiranga</x:t>
        </x:is>
      </x:c>
      <x:c t="inlineStr" r="AX173">
        <x:is>
          <x:t>text,poster,long hair,thigh,footwear</x:t>
        </x:is>
      </x:c>
      <x:c t="inlineStr" r="AY173">
        <x:is>
          <x:t/>
        </x:is>
      </x:c>
      <x:c t="inlineStr" r="AZ173">
        <x:is>
          <x:t>woman</x:t>
        </x:is>
      </x:c>
      <x:c t="inlineStr" r="BA173">
        <x:is>
          <x:t/>
        </x:is>
      </x:c>
      <x:c t="inlineStr" r="BB173">
        <x:is>
          <x:t>ILLUSTRATION</x:t>
        </x:is>
      </x:c>
      <x:c t="inlineStr" r="BC173">
        <x:is>
          <x:t>advertising</x:t>
        </x:is>
      </x:c>
      <x:c r="BD173">
        <x:f>HYPERLINK("https://pbs.twimg.com/media/HP7ncrpW0AEkBud.jpg")</x:f>
      </x:c>
      <x:c t="inlineStr" r="BE173">
        <x:is>
          <x:t/>
        </x:is>
      </x:c>
      <x:c t="inlineStr" r="BF173">
        <x:is>
          <x:t>Não</x:t>
        </x:is>
      </x:c>
      <x:c t="inlineStr" r="BG173"/>
      <x:c t="inlineStr" r="BH173">
        <x:is>
          <x:t/>
        </x:is>
      </x:c>
      <x:c t="inlineStr" r="BI173">
        <x:is>
          <x:t>Promoção</x:t>
        </x:is>
      </x:c>
      <x:c t="inlineStr" r="BJ173"/>
      <x:c t="inlineStr" r="BK173">
        <x:is>
          <x:t>Ipiranga,Rock In Rio</x:t>
        </x:is>
      </x:c>
      <x:c t="inlineStr" r="BL173"/>
      <x:c t="inlineStr" r="BM173"/>
      <x:c t="inlineStr" r="BN173"/>
      <x:c t="inlineStr" r="BO173"/>
      <x:c t="inlineStr" r="BP173"/>
      <x:c t="inlineStr" r="BQ173"/>
      <x:c t="inlineStr" r="BR173"/>
      <x:c t="inlineStr" r="BS173"/>
      <x:c t="inlineStr" r="BT173"/>
      <x:c t="inlineStr" r="BU173"/>
      <x:c t="inlineStr" r="BV173"/>
      <x:c t="inlineStr" r="BW173"/>
      <x:c t="inlineStr" r="BX173"/>
      <x:c t="inlineStr" r="BY173"/>
      <x:c t="inlineStr" r="BZ173">
        <x:is>
          <x:t>Ipiranga</x:t>
        </x:is>
      </x:c>
      <x:c t="inlineStr" r="CA173"/>
      <x:c t="inlineStr" r="CB173"/>
      <x:c t="inlineStr" r="CC173"/>
      <x:c t="inlineStr" r="CD173"/>
      <x:c t="inlineStr" r="CE173">
        <x:is>
          <x:t>Rock In Rio</x:t>
        </x:is>
      </x:c>
      <x:c t="inlineStr" r="CF173"/>
    </x:row>
    <x:row r="174">
      <x:c t="n" r="A174">
        <x:v>3875362150</x:v>
      </x:c>
      <x:c t="inlineStr" r="B174">
        <x:is>
          <x:t>17.08.2026</x:t>
        </x:is>
      </x:c>
      <x:c t="inlineStr" r="C174">
        <x:is>
          <x:t>13:42</x:t>
        </x:is>
      </x:c>
      <x:c t="inlineStr" r="D174">
        <x:is>
          <x:t>19.08.2026 17:16</x:t>
        </x:is>
      </x:c>
      <x:c t="inlineStr" r="E174">
        <x:is>
          <x:t/>
        </x:is>
      </x:c>
      <x:c t="inlineStr" r="F174">
        <x:is>
          <x:t>Ipi, a gnt tem um pedido que precisa chegar até vocês: LEVEM A SAMI PRO ROCK IN RIO! Ela tem carisma, presença e energia de sobra pra viver esse momento, e seria PERFEITO ver a Sami representando o Ipiranga no festival! 👀Bora transformar esse pedido em realidade? SAMI NO RIR! 🎸</x:t>
        </x:is>
      </x:c>
      <x:c t="inlineStr" r="G174">
        <x:is>
          <x:t/>
        </x:is>
      </x:c>
      <x:c t="inlineStr" r="H174"/>
      <x:c t="inlineStr" r="I174">
        <x:is>
          <x:t>Repost</x:t>
        </x:is>
      </x:c>
      <x:c t="inlineStr" r="J174">
        <x:is>
          <x:t>Imagem,Texto</x:t>
        </x:is>
      </x:c>
      <x:c t="inlineStr" r="K174"/>
      <x:c r="L174">
        <x:f>HYPERLINK("https://x.com/vini_reality24/status/2089392459700719674")</x:f>
      </x:c>
      <x:c t="inlineStr" r="M174">
        <x:is>
          <x:t>Negativo</x:t>
        </x:is>
      </x:c>
      <x:c t="inlineStr" r="N174">
        <x:is>
          <x:t>vini</x:t>
        </x:is>
      </x:c>
      <x:c t="inlineStr" r="O174">
        <x:is>
          <x:t>vini_reality24</x:t>
        </x:is>
      </x:c>
      <x:c r="P174">
        <x:f>HYPERLINK("http://x.com/vini_reality24")</x:f>
      </x:c>
      <x:c t="n" r="Q174">
        <x:v>83</x:v>
      </x:c>
      <x:c t="inlineStr" r="R174"/>
      <x:c t="inlineStr" r="S174"/>
      <x:c t="inlineStr" r="T174">
        <x:is>
          <x:t>x.com</x:t>
        </x:is>
      </x:c>
      <x:c t="inlineStr" r="U174"/>
      <x:c t="inlineStr" r="V174"/>
      <x:c t="inlineStr" r="W174"/>
      <x:c t="inlineStr" r="X174"/>
      <x:c t="inlineStr" r="Y174">
        <x:is>
          <x:t>Rede social</x:t>
        </x:is>
      </x:c>
      <x:c t="inlineStr" r="Z174">
        <x:is>
          <x:t>Português</x:t>
        </x:is>
      </x:c>
      <x:c t="inlineStr" r="AA174">
        <x:is>
          <x:t>Brasil</x:t>
        </x:is>
      </x:c>
      <x:c t="inlineStr" r="AB174"/>
      <x:c t="inlineStr" r="AC174"/>
      <x:c t="inlineStr" r="AD174"/>
      <x:c t="inlineStr" r="AE174"/>
      <x:c t="n" r="AF174">
        <x:v>0</x:v>
      </x:c>
      <x:c t="inlineStr" r="AG174"/>
      <x:c t="inlineStr" r="AH174"/>
      <x:c t="inlineStr" r="AI174"/>
      <x:c t="inlineStr" r="AJ174"/>
      <x:c t="inlineStr" r="AK174"/>
      <x:c t="inlineStr" r="AL174"/>
      <x:c t="inlineStr" r="AM174"/>
      <x:c t="inlineStr" r="AN174"/>
      <x:c t="inlineStr" r="AO174"/>
      <x:c t="inlineStr" r="AP174"/>
      <x:c t="inlineStr" r="AQ174"/>
      <x:c t="inlineStr" r="AR174"/>
      <x:c t="inlineStr" r="AS174"/>
      <x:c t="inlineStr" r="AT174"/>
      <x:c t="n" r="AU174">
        <x:v>83</x:v>
      </x:c>
      <x:c t="inlineStr" r="AV174"/>
      <x:c t="inlineStr" r="AW174">
        <x:is>
          <x:t>Ipiranga</x:t>
        </x:is>
      </x:c>
      <x:c t="inlineStr" r="AX174">
        <x:is>
          <x:t>text,poster,long hair,thigh,footwear</x:t>
        </x:is>
      </x:c>
      <x:c t="inlineStr" r="AY174">
        <x:is>
          <x:t/>
        </x:is>
      </x:c>
      <x:c t="inlineStr" r="AZ174">
        <x:is>
          <x:t>woman</x:t>
        </x:is>
      </x:c>
      <x:c t="inlineStr" r="BA174">
        <x:is>
          <x:t/>
        </x:is>
      </x:c>
      <x:c t="inlineStr" r="BB174">
        <x:is>
          <x:t>ILLUSTRATION</x:t>
        </x:is>
      </x:c>
      <x:c t="inlineStr" r="BC174">
        <x:is>
          <x:t>advertising</x:t>
        </x:is>
      </x:c>
      <x:c r="BD174">
        <x:f>HYPERLINK("https://pbs.twimg.com/media/HP7ncrpW0AEkBud.jpg")</x:f>
      </x:c>
      <x:c t="inlineStr" r="BE174">
        <x:is>
          <x:t/>
        </x:is>
      </x:c>
      <x:c t="inlineStr" r="BF174">
        <x:is>
          <x:t>Não</x:t>
        </x:is>
      </x:c>
      <x:c t="inlineStr" r="BG174"/>
      <x:c t="inlineStr" r="BH174">
        <x:is>
          <x:t/>
        </x:is>
      </x:c>
      <x:c t="inlineStr" r="BI174">
        <x:is>
          <x:t>Promoção</x:t>
        </x:is>
      </x:c>
      <x:c t="inlineStr" r="BJ174"/>
      <x:c t="inlineStr" r="BK174">
        <x:is>
          <x:t>Ipiranga,Rock In Rio</x:t>
        </x:is>
      </x:c>
      <x:c t="inlineStr" r="BL174"/>
      <x:c t="inlineStr" r="BM174"/>
      <x:c t="inlineStr" r="BN174"/>
      <x:c t="inlineStr" r="BO174"/>
      <x:c t="inlineStr" r="BP174"/>
      <x:c t="inlineStr" r="BQ174"/>
      <x:c t="inlineStr" r="BR174"/>
      <x:c t="inlineStr" r="BS174"/>
      <x:c t="inlineStr" r="BT174"/>
      <x:c t="inlineStr" r="BU174"/>
      <x:c t="inlineStr" r="BV174"/>
      <x:c t="inlineStr" r="BW174"/>
      <x:c t="inlineStr" r="BX174"/>
      <x:c t="inlineStr" r="BY174"/>
      <x:c t="inlineStr" r="BZ174">
        <x:is>
          <x:t>Ipiranga</x:t>
        </x:is>
      </x:c>
      <x:c t="inlineStr" r="CA174"/>
      <x:c t="inlineStr" r="CB174"/>
      <x:c t="inlineStr" r="CC174"/>
      <x:c t="inlineStr" r="CD174"/>
      <x:c t="inlineStr" r="CE174">
        <x:is>
          <x:t>Rock In Rio</x:t>
        </x:is>
      </x:c>
      <x:c t="inlineStr" r="CF174"/>
    </x:row>
    <x:row r="175">
      <x:c t="n" r="A175">
        <x:v>3020418030</x:v>
      </x:c>
      <x:c t="inlineStr" r="B175">
        <x:is>
          <x:t>17.08.2026</x:t>
        </x:is>
      </x:c>
      <x:c t="inlineStr" r="C175">
        <x:is>
          <x:t>13:06</x:t>
        </x:is>
      </x:c>
      <x:c t="inlineStr" r="D175">
        <x:is>
          <x:t>19.08.2026 17:16</x:t>
        </x:is>
      </x:c>
      <x:c t="inlineStr" r="E175">
        <x:is>
          <x:t/>
        </x:is>
      </x:c>
      <x:c t="inlineStr" r="F175">
        <x:is>
          <x:t>Ipi, a gnt tem um pedido que precisa chegar até vocês: LEVEM A SAMI PRO ROCK IN RIO! Ela tem carisma, presença e energia de sobra pra viver esse momento, e seria PERFEITO ver a Sami representando o Ipiranga no festival! 👀Bora transformar esse pedido em realidade? SAMI NO RIR! 🎸</x:t>
        </x:is>
      </x:c>
      <x:c t="inlineStr" r="G175">
        <x:is>
          <x:t/>
        </x:is>
      </x:c>
      <x:c t="inlineStr" r="H175"/>
      <x:c t="inlineStr" r="I175">
        <x:is>
          <x:t>Repost</x:t>
        </x:is>
      </x:c>
      <x:c t="inlineStr" r="J175">
        <x:is>
          <x:t>Imagem,Texto</x:t>
        </x:is>
      </x:c>
      <x:c t="inlineStr" r="K175"/>
      <x:c r="L175">
        <x:f>HYPERLINK("https://x.com/barbzz_ajld/status/2089383422879813862")</x:f>
      </x:c>
      <x:c t="inlineStr" r="M175">
        <x:is>
          <x:t>Negativo</x:t>
        </x:is>
      </x:c>
      <x:c t="inlineStr" r="N175">
        <x:is>
          <x:t>barbz 💋</x:t>
        </x:is>
      </x:c>
      <x:c t="inlineStr" r="O175">
        <x:is>
          <x:t>barbzz_ajld</x:t>
        </x:is>
      </x:c>
      <x:c r="P175">
        <x:f>HYPERLINK("http://x.com/barbzz_ajld")</x:f>
      </x:c>
      <x:c t="n" r="Q175">
        <x:v>125</x:v>
      </x:c>
      <x:c t="inlineStr" r="R175"/>
      <x:c t="inlineStr" r="S175"/>
      <x:c t="inlineStr" r="T175">
        <x:is>
          <x:t>x.com</x:t>
        </x:is>
      </x:c>
      <x:c t="inlineStr" r="U175"/>
      <x:c t="inlineStr" r="V175"/>
      <x:c t="inlineStr" r="W175"/>
      <x:c t="inlineStr" r="X175"/>
      <x:c t="inlineStr" r="Y175">
        <x:is>
          <x:t>Rede social</x:t>
        </x:is>
      </x:c>
      <x:c t="inlineStr" r="Z175">
        <x:is>
          <x:t>Português</x:t>
        </x:is>
      </x:c>
      <x:c t="inlineStr" r="AA175">
        <x:is>
          <x:t>Brasil</x:t>
        </x:is>
      </x:c>
      <x:c t="inlineStr" r="AB175">
        <x:is>
          <x:t>São Paulo</x:t>
        </x:is>
      </x:c>
      <x:c t="inlineStr" r="AC175"/>
      <x:c t="inlineStr" r="AD175"/>
      <x:c t="inlineStr" r="AE175"/>
      <x:c t="n" r="AF175">
        <x:v>0</x:v>
      </x:c>
      <x:c t="inlineStr" r="AG175"/>
      <x:c t="inlineStr" r="AH175"/>
      <x:c t="inlineStr" r="AI175"/>
      <x:c t="inlineStr" r="AJ175"/>
      <x:c t="inlineStr" r="AK175"/>
      <x:c t="inlineStr" r="AL175"/>
      <x:c t="inlineStr" r="AM175"/>
      <x:c t="inlineStr" r="AN175"/>
      <x:c t="inlineStr" r="AO175"/>
      <x:c t="inlineStr" r="AP175"/>
      <x:c t="inlineStr" r="AQ175"/>
      <x:c t="inlineStr" r="AR175"/>
      <x:c t="inlineStr" r="AS175"/>
      <x:c t="inlineStr" r="AT175"/>
      <x:c t="n" r="AU175">
        <x:v>125</x:v>
      </x:c>
      <x:c t="inlineStr" r="AV175"/>
      <x:c t="inlineStr" r="AW175">
        <x:is>
          <x:t>Ipiranga</x:t>
        </x:is>
      </x:c>
      <x:c t="inlineStr" r="AX175">
        <x:is>
          <x:t>text,poster,long hair,thigh,footwear</x:t>
        </x:is>
      </x:c>
      <x:c t="inlineStr" r="AY175">
        <x:is>
          <x:t/>
        </x:is>
      </x:c>
      <x:c t="inlineStr" r="AZ175">
        <x:is>
          <x:t>woman</x:t>
        </x:is>
      </x:c>
      <x:c t="inlineStr" r="BA175">
        <x:is>
          <x:t/>
        </x:is>
      </x:c>
      <x:c t="inlineStr" r="BB175">
        <x:is>
          <x:t>ILLUSTRATION</x:t>
        </x:is>
      </x:c>
      <x:c t="inlineStr" r="BC175">
        <x:is>
          <x:t>advertising</x:t>
        </x:is>
      </x:c>
      <x:c r="BD175">
        <x:f>HYPERLINK("https://pbs.twimg.com/media/HP7ncrpW0AEkBud.jpg")</x:f>
      </x:c>
      <x:c t="inlineStr" r="BE175">
        <x:is>
          <x:t/>
        </x:is>
      </x:c>
      <x:c t="inlineStr" r="BF175">
        <x:is>
          <x:t>Não</x:t>
        </x:is>
      </x:c>
      <x:c t="inlineStr" r="BG175"/>
      <x:c t="inlineStr" r="BH175">
        <x:is>
          <x:t/>
        </x:is>
      </x:c>
      <x:c t="inlineStr" r="BI175">
        <x:is>
          <x:t>Promoção</x:t>
        </x:is>
      </x:c>
      <x:c t="inlineStr" r="BJ175"/>
      <x:c t="inlineStr" r="BK175">
        <x:is>
          <x:t>Ipiranga,Rock In Rio</x:t>
        </x:is>
      </x:c>
      <x:c t="inlineStr" r="BL175"/>
      <x:c t="inlineStr" r="BM175"/>
      <x:c t="inlineStr" r="BN175"/>
      <x:c t="inlineStr" r="BO175"/>
      <x:c t="inlineStr" r="BP175"/>
      <x:c t="inlineStr" r="BQ175"/>
      <x:c t="inlineStr" r="BR175"/>
      <x:c t="inlineStr" r="BS175"/>
      <x:c t="inlineStr" r="BT175"/>
      <x:c t="inlineStr" r="BU175"/>
      <x:c t="inlineStr" r="BV175"/>
      <x:c t="inlineStr" r="BW175"/>
      <x:c t="inlineStr" r="BX175"/>
      <x:c t="inlineStr" r="BY175"/>
      <x:c t="inlineStr" r="BZ175">
        <x:is>
          <x:t>Ipiranga</x:t>
        </x:is>
      </x:c>
      <x:c t="inlineStr" r="CA175"/>
      <x:c t="inlineStr" r="CB175"/>
      <x:c t="inlineStr" r="CC175"/>
      <x:c t="inlineStr" r="CD175"/>
      <x:c t="inlineStr" r="CE175">
        <x:is>
          <x:t>Rock In Rio</x:t>
        </x:is>
      </x:c>
      <x:c t="inlineStr" r="CF175"/>
    </x:row>
    <x:row r="176">
      <x:c t="n" r="A176">
        <x:v>2345195716</x:v>
      </x:c>
      <x:c t="inlineStr" r="B176">
        <x:is>
          <x:t>17.08.2026</x:t>
        </x:is>
      </x:c>
      <x:c t="inlineStr" r="C176">
        <x:is>
          <x:t>12:21</x:t>
        </x:is>
      </x:c>
      <x:c t="inlineStr" r="D176">
        <x:is>
          <x:t>19.08.2026 17:16</x:t>
        </x:is>
      </x:c>
      <x:c t="inlineStr" r="E176">
        <x:is>
          <x:t/>
        </x:is>
      </x:c>
      <x:c t="inlineStr" r="F176">
        <x:is>
          <x:t>Ipi, a gnt tem um pedido que precisa chegar até vocês: LEVEM A SAMI PRO ROCK IN RIO! Ela tem carisma, presença e energia de sobra pra viver esse momento, e seria PERFEITO ver a Sami representando o Ipiranga no festival! 👀Bora transformar esse pedido em realidade? SAMI NO RIR! 🎸</x:t>
        </x:is>
      </x:c>
      <x:c t="inlineStr" r="G176">
        <x:is>
          <x:t/>
        </x:is>
      </x:c>
      <x:c t="inlineStr" r="H176"/>
      <x:c t="inlineStr" r="I176">
        <x:is>
          <x:t>Repost</x:t>
        </x:is>
      </x:c>
      <x:c t="inlineStr" r="J176">
        <x:is>
          <x:t>Imagem,Texto</x:t>
        </x:is>
      </x:c>
      <x:c t="inlineStr" r="K176"/>
      <x:c r="L176">
        <x:f>HYPERLINK("https://x.com/lindolfy/status/2089372146296336388")</x:f>
      </x:c>
      <x:c t="inlineStr" r="M176">
        <x:is>
          <x:t>Negativo</x:t>
        </x:is>
      </x:c>
      <x:c t="inlineStr" r="N176">
        <x:is>
          <x:t>Lindy Sagr</x:t>
        </x:is>
      </x:c>
      <x:c t="inlineStr" r="O176">
        <x:is>
          <x:t>lindolfy</x:t>
        </x:is>
      </x:c>
      <x:c r="P176">
        <x:f>HYPERLINK("http://x.com/lindolfy")</x:f>
      </x:c>
      <x:c t="n" r="Q176">
        <x:v>224</x:v>
      </x:c>
      <x:c t="inlineStr" r="R176">
        <x:is>
          <x:t>Mulher</x:t>
        </x:is>
      </x:c>
      <x:c t="inlineStr" r="S176"/>
      <x:c t="inlineStr" r="T176">
        <x:is>
          <x:t>x.com</x:t>
        </x:is>
      </x:c>
      <x:c t="inlineStr" r="U176"/>
      <x:c t="inlineStr" r="V176"/>
      <x:c t="inlineStr" r="W176"/>
      <x:c t="inlineStr" r="X176"/>
      <x:c t="inlineStr" r="Y176">
        <x:is>
          <x:t>Rede social</x:t>
        </x:is>
      </x:c>
      <x:c t="inlineStr" r="Z176">
        <x:is>
          <x:t>Português</x:t>
        </x:is>
      </x:c>
      <x:c t="inlineStr" r="AA176">
        <x:is>
          <x:t>Brasil</x:t>
        </x:is>
      </x:c>
      <x:c t="inlineStr" r="AB176"/>
      <x:c t="inlineStr" r="AC176"/>
      <x:c t="inlineStr" r="AD176"/>
      <x:c t="inlineStr" r="AE176"/>
      <x:c t="n" r="AF176">
        <x:v>0</x:v>
      </x:c>
      <x:c t="inlineStr" r="AG176"/>
      <x:c t="inlineStr" r="AH176"/>
      <x:c t="inlineStr" r="AI176"/>
      <x:c t="inlineStr" r="AJ176"/>
      <x:c t="inlineStr" r="AK176"/>
      <x:c t="inlineStr" r="AL176"/>
      <x:c t="inlineStr" r="AM176"/>
      <x:c t="inlineStr" r="AN176"/>
      <x:c t="inlineStr" r="AO176"/>
      <x:c t="inlineStr" r="AP176"/>
      <x:c t="inlineStr" r="AQ176"/>
      <x:c t="inlineStr" r="AR176"/>
      <x:c t="inlineStr" r="AS176"/>
      <x:c t="inlineStr" r="AT176"/>
      <x:c t="n" r="AU176">
        <x:v>224</x:v>
      </x:c>
      <x:c t="inlineStr" r="AV176"/>
      <x:c t="inlineStr" r="AW176">
        <x:is>
          <x:t>Ipiranga</x:t>
        </x:is>
      </x:c>
      <x:c t="inlineStr" r="AX176">
        <x:is>
          <x:t>text,poster,long hair,thigh,footwear</x:t>
        </x:is>
      </x:c>
      <x:c t="inlineStr" r="AY176">
        <x:is>
          <x:t/>
        </x:is>
      </x:c>
      <x:c t="inlineStr" r="AZ176">
        <x:is>
          <x:t>woman</x:t>
        </x:is>
      </x:c>
      <x:c t="inlineStr" r="BA176">
        <x:is>
          <x:t/>
        </x:is>
      </x:c>
      <x:c t="inlineStr" r="BB176">
        <x:is>
          <x:t>ILLUSTRATION</x:t>
        </x:is>
      </x:c>
      <x:c t="inlineStr" r="BC176">
        <x:is>
          <x:t>advertising</x:t>
        </x:is>
      </x:c>
      <x:c r="BD176">
        <x:f>HYPERLINK("https://pbs.twimg.com/media/HP7ncrpW0AEkBud.jpg")</x:f>
      </x:c>
      <x:c t="inlineStr" r="BE176">
        <x:is>
          <x:t/>
        </x:is>
      </x:c>
      <x:c t="inlineStr" r="BF176">
        <x:is>
          <x:t>Não</x:t>
        </x:is>
      </x:c>
      <x:c t="inlineStr" r="BG176"/>
      <x:c t="inlineStr" r="BH176">
        <x:is>
          <x:t/>
        </x:is>
      </x:c>
      <x:c t="inlineStr" r="BI176">
        <x:is>
          <x:t>Promoção</x:t>
        </x:is>
      </x:c>
      <x:c t="inlineStr" r="BJ176"/>
      <x:c t="inlineStr" r="BK176">
        <x:is>
          <x:t>Ipiranga,Rock In Rio</x:t>
        </x:is>
      </x:c>
      <x:c t="inlineStr" r="BL176"/>
      <x:c t="inlineStr" r="BM176"/>
      <x:c t="inlineStr" r="BN176"/>
      <x:c t="inlineStr" r="BO176"/>
      <x:c t="inlineStr" r="BP176"/>
      <x:c t="inlineStr" r="BQ176"/>
      <x:c t="inlineStr" r="BR176"/>
      <x:c t="inlineStr" r="BS176"/>
      <x:c t="inlineStr" r="BT176"/>
      <x:c t="inlineStr" r="BU176"/>
      <x:c t="inlineStr" r="BV176"/>
      <x:c t="inlineStr" r="BW176"/>
      <x:c t="inlineStr" r="BX176"/>
      <x:c t="inlineStr" r="BY176"/>
      <x:c t="inlineStr" r="BZ176">
        <x:is>
          <x:t>Ipiranga</x:t>
        </x:is>
      </x:c>
      <x:c t="inlineStr" r="CA176"/>
      <x:c t="inlineStr" r="CB176"/>
      <x:c t="inlineStr" r="CC176"/>
      <x:c t="inlineStr" r="CD176"/>
      <x:c t="inlineStr" r="CE176">
        <x:is>
          <x:t>Rock In Rio</x:t>
        </x:is>
      </x:c>
      <x:c t="inlineStr" r="CF176"/>
    </x:row>
    <x:row r="177">
      <x:c t="n" r="A177">
        <x:v>11142579</x:v>
      </x:c>
      <x:c t="inlineStr" r="B177">
        <x:is>
          <x:t>17.08.2026</x:t>
        </x:is>
      </x:c>
      <x:c t="inlineStr" r="C177">
        <x:is>
          <x:t>12:06</x:t>
        </x:is>
      </x:c>
      <x:c t="inlineStr" r="D177">
        <x:is>
          <x:t>19.08.2026 17:16</x:t>
        </x:is>
      </x:c>
      <x:c t="inlineStr" r="E177">
        <x:is>
          <x:t/>
        </x:is>
      </x:c>
      <x:c t="inlineStr" r="F177">
        <x:is>
          <x:t>Ipi, a gnt tem um pedido que precisa chegar até vocês: LEVEM A SAMI PRO ROCK IN RIO! Ela tem carisma, presença e energia de sobra pra viver esse momento, e seria PERFEITO ver a Sami representando o Ipiranga no festival! 👀Bora transformar esse pedido em realidade? SAMI NO RIR! 🎸</x:t>
        </x:is>
      </x:c>
      <x:c t="inlineStr" r="G177">
        <x:is>
          <x:t/>
        </x:is>
      </x:c>
      <x:c t="inlineStr" r="H177"/>
      <x:c t="inlineStr" r="I177">
        <x:is>
          <x:t>Repost</x:t>
        </x:is>
      </x:c>
      <x:c t="inlineStr" r="J177">
        <x:is>
          <x:t>Imagem,Texto</x:t>
        </x:is>
      </x:c>
      <x:c t="inlineStr" r="K177"/>
      <x:c r="L177">
        <x:f>HYPERLINK("https://x.com/Albertlopes145/status/2089368221992292691")</x:f>
      </x:c>
      <x:c t="inlineStr" r="M177">
        <x:is>
          <x:t>Negativo</x:t>
        </x:is>
      </x:c>
      <x:c t="inlineStr" r="N177">
        <x:is>
          <x:t>ALS FÊNIX 🦅🔥🏹 💋🍯</x:t>
        </x:is>
      </x:c>
      <x:c t="inlineStr" r="O177">
        <x:is>
          <x:t>Albertlopes145</x:t>
        </x:is>
      </x:c>
      <x:c r="P177">
        <x:f>HYPERLINK("http://x.com/Albertlopes145")</x:f>
      </x:c>
      <x:c t="n" r="Q177">
        <x:v>606</x:v>
      </x:c>
      <x:c t="inlineStr" r="R177"/>
      <x:c t="inlineStr" r="S177"/>
      <x:c t="inlineStr" r="T177">
        <x:is>
          <x:t>x.com</x:t>
        </x:is>
      </x:c>
      <x:c t="inlineStr" r="U177"/>
      <x:c t="inlineStr" r="V177"/>
      <x:c t="inlineStr" r="W177"/>
      <x:c t="inlineStr" r="X177"/>
      <x:c t="inlineStr" r="Y177">
        <x:is>
          <x:t>Rede social</x:t>
        </x:is>
      </x:c>
      <x:c t="inlineStr" r="Z177">
        <x:is>
          <x:t>Português</x:t>
        </x:is>
      </x:c>
      <x:c t="inlineStr" r="AA177">
        <x:is>
          <x:t>Brasil</x:t>
        </x:is>
      </x:c>
      <x:c t="inlineStr" r="AB177"/>
      <x:c t="inlineStr" r="AC177"/>
      <x:c t="inlineStr" r="AD177"/>
      <x:c t="inlineStr" r="AE177"/>
      <x:c t="n" r="AF177">
        <x:v>0</x:v>
      </x:c>
      <x:c t="inlineStr" r="AG177"/>
      <x:c t="inlineStr" r="AH177"/>
      <x:c t="inlineStr" r="AI177"/>
      <x:c t="inlineStr" r="AJ177"/>
      <x:c t="inlineStr" r="AK177"/>
      <x:c t="inlineStr" r="AL177"/>
      <x:c t="inlineStr" r="AM177"/>
      <x:c t="inlineStr" r="AN177"/>
      <x:c t="inlineStr" r="AO177"/>
      <x:c t="inlineStr" r="AP177"/>
      <x:c t="inlineStr" r="AQ177"/>
      <x:c t="inlineStr" r="AR177"/>
      <x:c t="inlineStr" r="AS177"/>
      <x:c t="inlineStr" r="AT177"/>
      <x:c t="n" r="AU177">
        <x:v>606</x:v>
      </x:c>
      <x:c t="inlineStr" r="AV177"/>
      <x:c t="inlineStr" r="AW177">
        <x:is>
          <x:t>Ipiranga</x:t>
        </x:is>
      </x:c>
      <x:c t="inlineStr" r="AX177">
        <x:is>
          <x:t>text,poster,long hair,thigh,footwear</x:t>
        </x:is>
      </x:c>
      <x:c t="inlineStr" r="AY177">
        <x:is>
          <x:t/>
        </x:is>
      </x:c>
      <x:c t="inlineStr" r="AZ177">
        <x:is>
          <x:t>woman</x:t>
        </x:is>
      </x:c>
      <x:c t="inlineStr" r="BA177">
        <x:is>
          <x:t/>
        </x:is>
      </x:c>
      <x:c t="inlineStr" r="BB177">
        <x:is>
          <x:t>ILLUSTRATION</x:t>
        </x:is>
      </x:c>
      <x:c t="inlineStr" r="BC177">
        <x:is>
          <x:t>advertising</x:t>
        </x:is>
      </x:c>
      <x:c r="BD177">
        <x:f>HYPERLINK("https://pbs.twimg.com/media/HP7ncrpW0AEkBud.jpg")</x:f>
      </x:c>
      <x:c t="inlineStr" r="BE177">
        <x:is>
          <x:t/>
        </x:is>
      </x:c>
      <x:c t="inlineStr" r="BF177">
        <x:is>
          <x:t>Não</x:t>
        </x:is>
      </x:c>
      <x:c t="inlineStr" r="BG177"/>
      <x:c t="inlineStr" r="BH177">
        <x:is>
          <x:t/>
        </x:is>
      </x:c>
      <x:c t="inlineStr" r="BI177">
        <x:is>
          <x:t>Promoção</x:t>
        </x:is>
      </x:c>
      <x:c t="inlineStr" r="BJ177"/>
      <x:c t="inlineStr" r="BK177">
        <x:is>
          <x:t>Ipiranga,Rock In Rio</x:t>
        </x:is>
      </x:c>
      <x:c t="inlineStr" r="BL177"/>
      <x:c t="inlineStr" r="BM177"/>
      <x:c t="inlineStr" r="BN177"/>
      <x:c t="inlineStr" r="BO177"/>
      <x:c t="inlineStr" r="BP177"/>
      <x:c t="inlineStr" r="BQ177"/>
      <x:c t="inlineStr" r="BR177"/>
      <x:c t="inlineStr" r="BS177"/>
      <x:c t="inlineStr" r="BT177"/>
      <x:c t="inlineStr" r="BU177"/>
      <x:c t="inlineStr" r="BV177"/>
      <x:c t="inlineStr" r="BW177"/>
      <x:c t="inlineStr" r="BX177"/>
      <x:c t="inlineStr" r="BY177"/>
      <x:c t="inlineStr" r="BZ177">
        <x:is>
          <x:t>Ipiranga</x:t>
        </x:is>
      </x:c>
      <x:c t="inlineStr" r="CA177"/>
      <x:c t="inlineStr" r="CB177"/>
      <x:c t="inlineStr" r="CC177"/>
      <x:c t="inlineStr" r="CD177"/>
      <x:c t="inlineStr" r="CE177">
        <x:is>
          <x:t>Rock In Rio</x:t>
        </x:is>
      </x:c>
      <x:c t="inlineStr" r="CF177"/>
    </x:row>
    <x:row r="178">
      <x:c t="n" r="A178">
        <x:v>3337481360</x:v>
      </x:c>
      <x:c t="inlineStr" r="B178">
        <x:is>
          <x:t>17.08.2026</x:t>
        </x:is>
      </x:c>
      <x:c t="inlineStr" r="C178">
        <x:is>
          <x:t>11:59</x:t>
        </x:is>
      </x:c>
      <x:c t="inlineStr" r="D178">
        <x:is>
          <x:t>19.08.2026 17:16</x:t>
        </x:is>
      </x:c>
      <x:c t="inlineStr" r="E178">
        <x:is>
          <x:t/>
        </x:is>
      </x:c>
      <x:c t="inlineStr" r="F178">
        <x:is>
          <x:t>Ipi, a gnt tem um pedido que precisa chegar até vocês: LEVEM A SAMI PRO ROCK IN RIO! Ela tem carisma, presença e energia de sobra pra viver esse momento, e seria PERFEITO ver a Sami representando o Ipiranga no festival! 👀Bora transformar esse pedido em realidade? SAMI NO RIR! 🎸</x:t>
        </x:is>
      </x:c>
      <x:c t="inlineStr" r="G178">
        <x:is>
          <x:t/>
        </x:is>
      </x:c>
      <x:c t="inlineStr" r="H178"/>
      <x:c t="inlineStr" r="I178">
        <x:is>
          <x:t>Repost</x:t>
        </x:is>
      </x:c>
      <x:c t="inlineStr" r="J178">
        <x:is>
          <x:t>Imagem,Texto</x:t>
        </x:is>
      </x:c>
      <x:c t="inlineStr" r="K178"/>
      <x:c r="L178">
        <x:f>HYPERLINK("https://x.com/viiiiiiihhhhhhh/status/2089366502122099035")</x:f>
      </x:c>
      <x:c t="inlineStr" r="M178">
        <x:is>
          <x:t>Negativo</x:t>
        </x:is>
      </x:c>
      <x:c t="inlineStr" r="N178">
        <x:is>
          <x:t>vitória</x:t>
        </x:is>
      </x:c>
      <x:c t="inlineStr" r="O178">
        <x:is>
          <x:t>viiiiiiihhhhhhh</x:t>
        </x:is>
      </x:c>
      <x:c r="P178">
        <x:f>HYPERLINK("http://x.com/viiiiiiihhhhhhh")</x:f>
      </x:c>
      <x:c t="n" r="Q178">
        <x:v>454</x:v>
      </x:c>
      <x:c t="inlineStr" r="R178">
        <x:is>
          <x:t>Mulher</x:t>
        </x:is>
      </x:c>
      <x:c t="inlineStr" r="S178"/>
      <x:c t="inlineStr" r="T178">
        <x:is>
          <x:t>x.com</x:t>
        </x:is>
      </x:c>
      <x:c t="inlineStr" r="U178"/>
      <x:c t="inlineStr" r="V178"/>
      <x:c t="inlineStr" r="W178"/>
      <x:c t="inlineStr" r="X178"/>
      <x:c t="inlineStr" r="Y178">
        <x:is>
          <x:t>Rede social</x:t>
        </x:is>
      </x:c>
      <x:c t="inlineStr" r="Z178">
        <x:is>
          <x:t>Português</x:t>
        </x:is>
      </x:c>
      <x:c t="inlineStr" r="AA178">
        <x:is>
          <x:t>Brasil</x:t>
        </x:is>
      </x:c>
      <x:c t="inlineStr" r="AB178"/>
      <x:c t="inlineStr" r="AC178"/>
      <x:c t="inlineStr" r="AD178"/>
      <x:c t="inlineStr" r="AE178"/>
      <x:c t="n" r="AF178">
        <x:v>0</x:v>
      </x:c>
      <x:c t="inlineStr" r="AG178"/>
      <x:c t="inlineStr" r="AH178"/>
      <x:c t="inlineStr" r="AI178"/>
      <x:c t="inlineStr" r="AJ178"/>
      <x:c t="inlineStr" r="AK178"/>
      <x:c t="inlineStr" r="AL178"/>
      <x:c t="inlineStr" r="AM178"/>
      <x:c t="inlineStr" r="AN178"/>
      <x:c t="inlineStr" r="AO178"/>
      <x:c t="inlineStr" r="AP178"/>
      <x:c t="inlineStr" r="AQ178"/>
      <x:c t="inlineStr" r="AR178"/>
      <x:c t="inlineStr" r="AS178"/>
      <x:c t="inlineStr" r="AT178"/>
      <x:c t="n" r="AU178">
        <x:v>454</x:v>
      </x:c>
      <x:c t="inlineStr" r="AV178"/>
      <x:c t="inlineStr" r="AW178">
        <x:is>
          <x:t>Ipiranga</x:t>
        </x:is>
      </x:c>
      <x:c t="inlineStr" r="AX178">
        <x:is>
          <x:t>text,poster,long hair,thigh,footwear</x:t>
        </x:is>
      </x:c>
      <x:c t="inlineStr" r="AY178">
        <x:is>
          <x:t/>
        </x:is>
      </x:c>
      <x:c t="inlineStr" r="AZ178">
        <x:is>
          <x:t>woman</x:t>
        </x:is>
      </x:c>
      <x:c t="inlineStr" r="BA178">
        <x:is>
          <x:t/>
        </x:is>
      </x:c>
      <x:c t="inlineStr" r="BB178">
        <x:is>
          <x:t>ILLUSTRATION</x:t>
        </x:is>
      </x:c>
      <x:c t="inlineStr" r="BC178">
        <x:is>
          <x:t>advertising</x:t>
        </x:is>
      </x:c>
      <x:c r="BD178">
        <x:f>HYPERLINK("https://pbs.twimg.com/media/HP7ncrpW0AEkBud.jpg")</x:f>
      </x:c>
      <x:c t="inlineStr" r="BE178">
        <x:is>
          <x:t/>
        </x:is>
      </x:c>
      <x:c t="inlineStr" r="BF178">
        <x:is>
          <x:t>Não</x:t>
        </x:is>
      </x:c>
      <x:c t="inlineStr" r="BG178"/>
      <x:c t="inlineStr" r="BH178">
        <x:is>
          <x:t/>
        </x:is>
      </x:c>
      <x:c t="inlineStr" r="BI178">
        <x:is>
          <x:t>Promoção</x:t>
        </x:is>
      </x:c>
      <x:c t="inlineStr" r="BJ178"/>
      <x:c t="inlineStr" r="BK178">
        <x:is>
          <x:t>Ipiranga,Rock In Rio</x:t>
        </x:is>
      </x:c>
      <x:c t="inlineStr" r="BL178"/>
      <x:c t="inlineStr" r="BM178"/>
      <x:c t="inlineStr" r="BN178"/>
      <x:c t="inlineStr" r="BO178"/>
      <x:c t="inlineStr" r="BP178"/>
      <x:c t="inlineStr" r="BQ178"/>
      <x:c t="inlineStr" r="BR178"/>
      <x:c t="inlineStr" r="BS178"/>
      <x:c t="inlineStr" r="BT178"/>
      <x:c t="inlineStr" r="BU178"/>
      <x:c t="inlineStr" r="BV178"/>
      <x:c t="inlineStr" r="BW178"/>
      <x:c t="inlineStr" r="BX178"/>
      <x:c t="inlineStr" r="BY178"/>
      <x:c t="inlineStr" r="BZ178">
        <x:is>
          <x:t>Ipiranga</x:t>
        </x:is>
      </x:c>
      <x:c t="inlineStr" r="CA178"/>
      <x:c t="inlineStr" r="CB178"/>
      <x:c t="inlineStr" r="CC178"/>
      <x:c t="inlineStr" r="CD178"/>
      <x:c t="inlineStr" r="CE178">
        <x:is>
          <x:t>Rock In Rio</x:t>
        </x:is>
      </x:c>
      <x:c t="inlineStr" r="CF178"/>
    </x:row>
    <x:row r="179">
      <x:c t="n" r="A179">
        <x:v>110493241</x:v>
      </x:c>
      <x:c t="inlineStr" r="B179">
        <x:is>
          <x:t>17.08.2026</x:t>
        </x:is>
      </x:c>
      <x:c t="inlineStr" r="C179">
        <x:is>
          <x:t>11:54</x:t>
        </x:is>
      </x:c>
      <x:c t="inlineStr" r="D179">
        <x:is>
          <x:t>19.08.2026 17:16</x:t>
        </x:is>
      </x:c>
      <x:c t="inlineStr" r="E179">
        <x:is>
          <x:t/>
        </x:is>
      </x:c>
      <x:c t="inlineStr" r="F179">
        <x:is>
          <x:t>Ipi, a gnt tem um pedido que precisa chegar até vocês: LEVEM A SAMI PRO ROCK IN RIO! Ela tem carisma, presença e energia de sobra pra viver esse momento, e seria PERFEITO ver a Sami representando o Ipiranga no festival! 👀Bora transformar esse pedido em realidade? SAMI NO RIR! 🎸</x:t>
        </x:is>
      </x:c>
      <x:c t="inlineStr" r="G179">
        <x:is>
          <x:t/>
        </x:is>
      </x:c>
      <x:c t="inlineStr" r="H179"/>
      <x:c t="inlineStr" r="I179">
        <x:is>
          <x:t>Repost</x:t>
        </x:is>
      </x:c>
      <x:c t="inlineStr" r="J179">
        <x:is>
          <x:t>Imagem,Texto</x:t>
        </x:is>
      </x:c>
      <x:c t="inlineStr" r="K179"/>
      <x:c r="L179">
        <x:f>HYPERLINK("https://x.com/annelymac/status/2089365322293748055")</x:f>
      </x:c>
      <x:c t="inlineStr" r="M179">
        <x:is>
          <x:t>Negativo</x:t>
        </x:is>
      </x:c>
      <x:c t="inlineStr" r="N179">
        <x:is>
          <x:t>annelym 💋</x:t>
        </x:is>
      </x:c>
      <x:c t="inlineStr" r="O179">
        <x:is>
          <x:t>annelymac</x:t>
        </x:is>
      </x:c>
      <x:c r="P179">
        <x:f>HYPERLINK("http://x.com/annelymac")</x:f>
      </x:c>
      <x:c t="n" r="Q179">
        <x:v>205</x:v>
      </x:c>
      <x:c t="inlineStr" r="R179"/>
      <x:c t="inlineStr" r="S179"/>
      <x:c t="inlineStr" r="T179">
        <x:is>
          <x:t>x.com</x:t>
        </x:is>
      </x:c>
      <x:c t="inlineStr" r="U179"/>
      <x:c t="inlineStr" r="V179"/>
      <x:c t="inlineStr" r="W179"/>
      <x:c t="inlineStr" r="X179"/>
      <x:c t="inlineStr" r="Y179">
        <x:is>
          <x:t>Rede social</x:t>
        </x:is>
      </x:c>
      <x:c t="inlineStr" r="Z179">
        <x:is>
          <x:t>Português</x:t>
        </x:is>
      </x:c>
      <x:c t="inlineStr" r="AA179">
        <x:is>
          <x:t>Brasil</x:t>
        </x:is>
      </x:c>
      <x:c t="inlineStr" r="AB179"/>
      <x:c t="inlineStr" r="AC179"/>
      <x:c t="inlineStr" r="AD179"/>
      <x:c t="inlineStr" r="AE179"/>
      <x:c t="n" r="AF179">
        <x:v>0</x:v>
      </x:c>
      <x:c t="inlineStr" r="AG179"/>
      <x:c t="inlineStr" r="AH179"/>
      <x:c t="inlineStr" r="AI179"/>
      <x:c t="inlineStr" r="AJ179"/>
      <x:c t="inlineStr" r="AK179"/>
      <x:c t="inlineStr" r="AL179"/>
      <x:c t="inlineStr" r="AM179"/>
      <x:c t="inlineStr" r="AN179"/>
      <x:c t="inlineStr" r="AO179"/>
      <x:c t="inlineStr" r="AP179"/>
      <x:c t="inlineStr" r="AQ179"/>
      <x:c t="inlineStr" r="AR179"/>
      <x:c t="inlineStr" r="AS179"/>
      <x:c t="inlineStr" r="AT179"/>
      <x:c t="n" r="AU179">
        <x:v>205</x:v>
      </x:c>
      <x:c t="inlineStr" r="AV179"/>
      <x:c t="inlineStr" r="AW179">
        <x:is>
          <x:t>Ipiranga</x:t>
        </x:is>
      </x:c>
      <x:c t="inlineStr" r="AX179">
        <x:is>
          <x:t>text,poster,long hair,thigh,footwear</x:t>
        </x:is>
      </x:c>
      <x:c t="inlineStr" r="AY179">
        <x:is>
          <x:t/>
        </x:is>
      </x:c>
      <x:c t="inlineStr" r="AZ179">
        <x:is>
          <x:t>woman</x:t>
        </x:is>
      </x:c>
      <x:c t="inlineStr" r="BA179">
        <x:is>
          <x:t/>
        </x:is>
      </x:c>
      <x:c t="inlineStr" r="BB179">
        <x:is>
          <x:t>ILLUSTRATION</x:t>
        </x:is>
      </x:c>
      <x:c t="inlineStr" r="BC179">
        <x:is>
          <x:t>advertising</x:t>
        </x:is>
      </x:c>
      <x:c r="BD179">
        <x:f>HYPERLINK("https://pbs.twimg.com/media/HP7ncrpW0AEkBud.jpg")</x:f>
      </x:c>
      <x:c t="inlineStr" r="BE179">
        <x:is>
          <x:t/>
        </x:is>
      </x:c>
      <x:c t="inlineStr" r="BF179">
        <x:is>
          <x:t>Não</x:t>
        </x:is>
      </x:c>
      <x:c t="inlineStr" r="BG179"/>
      <x:c t="inlineStr" r="BH179">
        <x:is>
          <x:t/>
        </x:is>
      </x:c>
      <x:c t="inlineStr" r="BI179">
        <x:is>
          <x:t>Promoção</x:t>
        </x:is>
      </x:c>
      <x:c t="inlineStr" r="BJ179"/>
      <x:c t="inlineStr" r="BK179">
        <x:is>
          <x:t>Ipiranga,Rock In Rio</x:t>
        </x:is>
      </x:c>
      <x:c t="inlineStr" r="BL179"/>
      <x:c t="inlineStr" r="BM179"/>
      <x:c t="inlineStr" r="BN179"/>
      <x:c t="inlineStr" r="BO179"/>
      <x:c t="inlineStr" r="BP179"/>
      <x:c t="inlineStr" r="BQ179"/>
      <x:c t="inlineStr" r="BR179"/>
      <x:c t="inlineStr" r="BS179"/>
      <x:c t="inlineStr" r="BT179"/>
      <x:c t="inlineStr" r="BU179"/>
      <x:c t="inlineStr" r="BV179"/>
      <x:c t="inlineStr" r="BW179"/>
      <x:c t="inlineStr" r="BX179"/>
      <x:c t="inlineStr" r="BY179"/>
      <x:c t="inlineStr" r="BZ179">
        <x:is>
          <x:t>Ipiranga</x:t>
        </x:is>
      </x:c>
      <x:c t="inlineStr" r="CA179"/>
      <x:c t="inlineStr" r="CB179"/>
      <x:c t="inlineStr" r="CC179"/>
      <x:c t="inlineStr" r="CD179"/>
      <x:c t="inlineStr" r="CE179">
        <x:is>
          <x:t>Rock In Rio</x:t>
        </x:is>
      </x:c>
      <x:c t="inlineStr" r="CF179"/>
    </x:row>
    <x:row r="180">
      <x:c t="n" r="A180">
        <x:v>4002105011</x:v>
      </x:c>
      <x:c t="inlineStr" r="B180">
        <x:is>
          <x:t>17.08.2026</x:t>
        </x:is>
      </x:c>
      <x:c t="inlineStr" r="C180">
        <x:is>
          <x:t>11:44</x:t>
        </x:is>
      </x:c>
      <x:c t="inlineStr" r="D180">
        <x:is>
          <x:t>19.08.2026 18:30</x:t>
        </x:is>
      </x:c>
      <x:c t="inlineStr" r="E180">
        <x:is>
          <x:t/>
        </x:is>
      </x:c>
      <x:c t="inlineStr" r="F180">
        <x:is>
          <x:t>Ipi, a gnt tem um pedido que precisa chegar até vocês: LEVEM A SAMI PRO ROCK IN RIO! Ela tem carisma, presença e energia de sobra pra viver esse momento, e seria PERFEITO ver a Sami representando o Ipiranga no festival! 👀Bora transformar esse pedido em realidade? SAMI NO RIR! 🎸</x:t>
        </x:is>
      </x:c>
      <x:c t="inlineStr" r="G180">
        <x:is>
          <x:t/>
        </x:is>
      </x:c>
      <x:c t="inlineStr" r="H180"/>
      <x:c t="inlineStr" r="I180">
        <x:is>
          <x:t>Repost</x:t>
        </x:is>
      </x:c>
      <x:c t="inlineStr" r="J180">
        <x:is>
          <x:t>Imagem,Texto</x:t>
        </x:is>
      </x:c>
      <x:c t="inlineStr" r="K180"/>
      <x:c r="L180">
        <x:f>HYPERLINK("https://x.com/euruanamari/status/2089362809511350381")</x:f>
      </x:c>
      <x:c t="inlineStr" r="M180">
        <x:is>
          <x:t>Negativo</x:t>
        </x:is>
      </x:c>
      <x:c t="inlineStr" r="N180">
        <x:is>
          <x:t>ruana castelo</x:t>
        </x:is>
      </x:c>
      <x:c t="inlineStr" r="O180">
        <x:is>
          <x:t>euruanamari</x:t>
        </x:is>
      </x:c>
      <x:c r="P180">
        <x:f>HYPERLINK("http://x.com/euruanamari")</x:f>
      </x:c>
      <x:c t="n" r="Q180">
        <x:v>82</x:v>
      </x:c>
      <x:c t="inlineStr" r="R180">
        <x:is>
          <x:t>Mulher</x:t>
        </x:is>
      </x:c>
      <x:c t="inlineStr" r="S180"/>
      <x:c t="inlineStr" r="T180">
        <x:is>
          <x:t>x.com</x:t>
        </x:is>
      </x:c>
      <x:c t="inlineStr" r="U180"/>
      <x:c t="inlineStr" r="V180"/>
      <x:c t="inlineStr" r="W180"/>
      <x:c t="inlineStr" r="X180"/>
      <x:c t="inlineStr" r="Y180">
        <x:is>
          <x:t>Rede social</x:t>
        </x:is>
      </x:c>
      <x:c t="inlineStr" r="Z180">
        <x:is>
          <x:t>Português</x:t>
        </x:is>
      </x:c>
      <x:c t="inlineStr" r="AA180">
        <x:is>
          <x:t>Brasil</x:t>
        </x:is>
      </x:c>
      <x:c t="inlineStr" r="AB180"/>
      <x:c t="inlineStr" r="AC180"/>
      <x:c t="inlineStr" r="AD180"/>
      <x:c t="inlineStr" r="AE180"/>
      <x:c t="n" r="AF180">
        <x:v>0</x:v>
      </x:c>
      <x:c t="inlineStr" r="AG180"/>
      <x:c t="inlineStr" r="AH180"/>
      <x:c t="inlineStr" r="AI180"/>
      <x:c t="inlineStr" r="AJ180"/>
      <x:c t="inlineStr" r="AK180"/>
      <x:c t="inlineStr" r="AL180"/>
      <x:c t="inlineStr" r="AM180"/>
      <x:c t="inlineStr" r="AN180"/>
      <x:c t="inlineStr" r="AO180"/>
      <x:c t="inlineStr" r="AP180"/>
      <x:c t="inlineStr" r="AQ180"/>
      <x:c t="inlineStr" r="AR180"/>
      <x:c t="inlineStr" r="AS180"/>
      <x:c t="inlineStr" r="AT180"/>
      <x:c t="n" r="AU180">
        <x:v>82</x:v>
      </x:c>
      <x:c t="inlineStr" r="AV180"/>
      <x:c t="inlineStr" r="AW180">
        <x:is>
          <x:t>Ipiranga</x:t>
        </x:is>
      </x:c>
      <x:c t="inlineStr" r="AX180">
        <x:is>
          <x:t>text,poster,long hair,thigh,footwear</x:t>
        </x:is>
      </x:c>
      <x:c t="inlineStr" r="AY180">
        <x:is>
          <x:t/>
        </x:is>
      </x:c>
      <x:c t="inlineStr" r="AZ180">
        <x:is>
          <x:t>woman</x:t>
        </x:is>
      </x:c>
      <x:c t="inlineStr" r="BA180">
        <x:is>
          <x:t/>
        </x:is>
      </x:c>
      <x:c t="inlineStr" r="BB180">
        <x:is>
          <x:t>ILLUSTRATION</x:t>
        </x:is>
      </x:c>
      <x:c t="inlineStr" r="BC180">
        <x:is>
          <x:t>advertising</x:t>
        </x:is>
      </x:c>
      <x:c r="BD180">
        <x:f>HYPERLINK("https://pbs.twimg.com/media/HP7ncrpW0AEkBud.jpg")</x:f>
      </x:c>
      <x:c t="inlineStr" r="BE180">
        <x:is>
          <x:t/>
        </x:is>
      </x:c>
      <x:c t="inlineStr" r="BF180">
        <x:is>
          <x:t>Não</x:t>
        </x:is>
      </x:c>
      <x:c t="inlineStr" r="BG180"/>
      <x:c t="inlineStr" r="BH180">
        <x:is>
          <x:t/>
        </x:is>
      </x:c>
      <x:c t="inlineStr" r="BI180">
        <x:is>
          <x:t>Promoção</x:t>
        </x:is>
      </x:c>
      <x:c t="inlineStr" r="BJ180"/>
      <x:c t="inlineStr" r="BK180">
        <x:is>
          <x:t>Ipiranga,Rock In Rio</x:t>
        </x:is>
      </x:c>
      <x:c t="inlineStr" r="BL180"/>
      <x:c t="inlineStr" r="BM180"/>
      <x:c t="inlineStr" r="BN180"/>
      <x:c t="inlineStr" r="BO180"/>
      <x:c t="inlineStr" r="BP180"/>
      <x:c t="inlineStr" r="BQ180"/>
      <x:c t="inlineStr" r="BR180"/>
      <x:c t="inlineStr" r="BS180"/>
      <x:c t="inlineStr" r="BT180"/>
      <x:c t="inlineStr" r="BU180"/>
      <x:c t="inlineStr" r="BV180"/>
      <x:c t="inlineStr" r="BW180"/>
      <x:c t="inlineStr" r="BX180"/>
      <x:c t="inlineStr" r="BY180"/>
      <x:c t="inlineStr" r="BZ180">
        <x:is>
          <x:t>Ipiranga</x:t>
        </x:is>
      </x:c>
      <x:c t="inlineStr" r="CA180"/>
      <x:c t="inlineStr" r="CB180"/>
      <x:c t="inlineStr" r="CC180"/>
      <x:c t="inlineStr" r="CD180"/>
      <x:c t="inlineStr" r="CE180">
        <x:is>
          <x:t>Rock In Rio</x:t>
        </x:is>
      </x:c>
      <x:c t="inlineStr" r="CF180"/>
    </x:row>
    <x:row r="181">
      <x:c t="n" r="A181">
        <x:v>4022734846</x:v>
      </x:c>
      <x:c t="inlineStr" r="B181">
        <x:is>
          <x:t>17.08.2026</x:t>
        </x:is>
      </x:c>
      <x:c t="inlineStr" r="C181">
        <x:is>
          <x:t>11:40</x:t>
        </x:is>
      </x:c>
      <x:c t="inlineStr" r="D181">
        <x:is>
          <x:t>19.08.2026 17:16</x:t>
        </x:is>
      </x:c>
      <x:c t="inlineStr" r="E181">
        <x:is>
          <x:t/>
        </x:is>
      </x:c>
      <x:c t="inlineStr" r="F181">
        <x:is>
          <x:t>Ipi, a gnt tem um pedido que precisa chegar até vocês: LEVEM A SAMI PRO ROCK IN RIO! Ela tem carisma, presença e energia de sobra pra viver esse momento, e seria PERFEITO ver a Sami representando o Ipiranga no festival! 👀Bora transformar esse pedido em realidade? SAMI NO RIR! 🎸</x:t>
        </x:is>
      </x:c>
      <x:c t="inlineStr" r="G181">
        <x:is>
          <x:t/>
        </x:is>
      </x:c>
      <x:c t="inlineStr" r="H181"/>
      <x:c t="inlineStr" r="I181">
        <x:is>
          <x:t>Postar</x:t>
        </x:is>
      </x:c>
      <x:c t="inlineStr" r="J181">
        <x:is>
          <x:t>Imagem,Texto</x:t>
        </x:is>
      </x:c>
      <x:c t="inlineStr" r="K181"/>
      <x:c r="L181">
        <x:f>HYPERLINK("https://x.com/gabiistecaa_/status/2089361765041643651")</x:f>
      </x:c>
      <x:c t="inlineStr" r="M181">
        <x:is>
          <x:t>Negativo</x:t>
        </x:is>
      </x:c>
      <x:c t="inlineStr" r="N181">
        <x:is>
          <x:t>gabis sagr 💋</x:t>
        </x:is>
      </x:c>
      <x:c t="inlineStr" r="O181">
        <x:is>
          <x:t>gabiistecaa_</x:t>
        </x:is>
      </x:c>
      <x:c r="P181">
        <x:f>HYPERLINK("http://x.com/gabiistecaa_")</x:f>
      </x:c>
      <x:c t="n" r="Q181">
        <x:v>240</x:v>
      </x:c>
      <x:c t="inlineStr" r="R181"/>
      <x:c t="inlineStr" r="S181"/>
      <x:c t="inlineStr" r="T181">
        <x:is>
          <x:t>x.com</x:t>
        </x:is>
      </x:c>
      <x:c t="inlineStr" r="U181"/>
      <x:c t="inlineStr" r="V181"/>
      <x:c t="inlineStr" r="W181"/>
      <x:c t="inlineStr" r="X181"/>
      <x:c t="inlineStr" r="Y181">
        <x:is>
          <x:t>Rede social</x:t>
        </x:is>
      </x:c>
      <x:c t="inlineStr" r="Z181">
        <x:is>
          <x:t>Português</x:t>
        </x:is>
      </x:c>
      <x:c t="inlineStr" r="AA181">
        <x:is>
          <x:t>Brasil</x:t>
        </x:is>
      </x:c>
      <x:c t="inlineStr" r="AB181"/>
      <x:c t="inlineStr" r="AC181"/>
      <x:c t="inlineStr" r="AD181"/>
      <x:c t="n" r="AE181">
        <x:v>42</x:v>
      </x:c>
      <x:c t="n" r="AF181">
        <x:v>72</x:v>
      </x:c>
      <x:c t="n" r="AG181">
        <x:v>42</x:v>
      </x:c>
      <x:c t="inlineStr" r="AH181"/>
      <x:c t="inlineStr" r="AI181"/>
      <x:c t="inlineStr" r="AJ181"/>
      <x:c t="inlineStr" r="AK181"/>
      <x:c t="inlineStr" r="AL181"/>
      <x:c t="inlineStr" r="AM181"/>
      <x:c t="inlineStr" r="AN181"/>
      <x:c t="n" r="AO181">
        <x:v>13</x:v>
      </x:c>
      <x:c t="n" r="AP181">
        <x:v>17</x:v>
      </x:c>
      <x:c t="n" r="AQ181">
        <x:v>555</x:v>
      </x:c>
      <x:c t="inlineStr" r="AR181"/>
      <x:c t="inlineStr" r="AS181"/>
      <x:c t="inlineStr" r="AT181"/>
      <x:c t="n" r="AU181">
        <x:v>240</x:v>
      </x:c>
      <x:c t="inlineStr" r="AV181"/>
      <x:c t="inlineStr" r="AW181">
        <x:is>
          <x:t>Ipiranga</x:t>
        </x:is>
      </x:c>
      <x:c t="inlineStr" r="AX181">
        <x:is>
          <x:t>text,poster,long hair,thigh,footwear</x:t>
        </x:is>
      </x:c>
      <x:c t="inlineStr" r="AY181">
        <x:is>
          <x:t/>
        </x:is>
      </x:c>
      <x:c t="inlineStr" r="AZ181">
        <x:is>
          <x:t>woman</x:t>
        </x:is>
      </x:c>
      <x:c t="inlineStr" r="BA181">
        <x:is>
          <x:t/>
        </x:is>
      </x:c>
      <x:c t="inlineStr" r="BB181">
        <x:is>
          <x:t>ILLUSTRATION</x:t>
        </x:is>
      </x:c>
      <x:c t="inlineStr" r="BC181">
        <x:is>
          <x:t>advertising</x:t>
        </x:is>
      </x:c>
      <x:c r="BD181">
        <x:f>HYPERLINK("https://pbs.twimg.com/media/HP7ncrpW0AEkBud.jpg")</x:f>
      </x:c>
      <x:c t="inlineStr" r="BE181">
        <x:is>
          <x:t/>
        </x:is>
      </x:c>
      <x:c t="inlineStr" r="BF181">
        <x:is>
          <x:t>Não</x:t>
        </x:is>
      </x:c>
      <x:c t="inlineStr" r="BG181"/>
      <x:c t="inlineStr" r="BH181">
        <x:is>
          <x:t/>
        </x:is>
      </x:c>
      <x:c t="inlineStr" r="BI181">
        <x:is>
          <x:t>Promoção</x:t>
        </x:is>
      </x:c>
      <x:c t="inlineStr" r="BJ181"/>
      <x:c t="inlineStr" r="BK181">
        <x:is>
          <x:t>Ipiranga,Rock In Rio</x:t>
        </x:is>
      </x:c>
      <x:c t="inlineStr" r="BL181"/>
      <x:c t="inlineStr" r="BM181"/>
      <x:c t="inlineStr" r="BN181"/>
      <x:c t="inlineStr" r="BO181"/>
      <x:c t="inlineStr" r="BP181"/>
      <x:c t="inlineStr" r="BQ181"/>
      <x:c t="inlineStr" r="BR181"/>
      <x:c t="inlineStr" r="BS181"/>
      <x:c t="inlineStr" r="BT181"/>
      <x:c t="inlineStr" r="BU181"/>
      <x:c t="inlineStr" r="BV181"/>
      <x:c t="inlineStr" r="BW181"/>
      <x:c t="inlineStr" r="BX181"/>
      <x:c t="inlineStr" r="BY181"/>
      <x:c t="inlineStr" r="BZ181">
        <x:is>
          <x:t>Ipiranga</x:t>
        </x:is>
      </x:c>
      <x:c t="inlineStr" r="CA181"/>
      <x:c t="inlineStr" r="CB181"/>
      <x:c t="inlineStr" r="CC181"/>
      <x:c t="inlineStr" r="CD181"/>
      <x:c t="inlineStr" r="CE181">
        <x:is>
          <x:t>Rock In Rio</x:t>
        </x:is>
      </x:c>
      <x:c t="inlineStr" r="CF181"/>
    </x:row>
    <x:row r="182">
      <x:c t="n" r="A182">
        <x:v>225430282</x:v>
      </x:c>
      <x:c t="inlineStr" r="B182">
        <x:is>
          <x:t>15.08.2026</x:t>
        </x:is>
      </x:c>
      <x:c t="inlineStr" r="C182">
        <x:is>
          <x:t>20:39</x:t>
        </x:is>
      </x:c>
      <x:c t="inlineStr" r="D182">
        <x:is>
          <x:t>19.08.2026 17:16</x:t>
        </x:is>
      </x:c>
      <x:c t="inlineStr" r="E182">
        <x:is>
          <x:t/>
        </x:is>
      </x:c>
      <x:c t="inlineStr" r="F182">
        <x:is>
          <x:t>Ipi, já que vocês amam uma parceria icônica, que tal levar a Sami pro Rock in Rio? 👀 a gente quer MUITO ver o encontro da Sami com a prima distante @zaralarsson, Façam esse encontro perfeituxo acontecer, Ipiranga + Sami + Zara + Rock in Rio = n tem combinação melhor!</x:t>
        </x:is>
      </x:c>
      <x:c t="inlineStr" r="G182">
        <x:is>
          <x:t/>
        </x:is>
      </x:c>
      <x:c t="inlineStr" r="H182"/>
      <x:c t="inlineStr" r="I182">
        <x:is>
          <x:t>Repost</x:t>
        </x:is>
      </x:c>
      <x:c t="inlineStr" r="J182">
        <x:is>
          <x:t>Imagem,Texto</x:t>
        </x:is>
      </x:c>
      <x:c t="inlineStr" r="K182"/>
      <x:c r="L182">
        <x:f>HYPERLINK("https://x.com/annelymac/status/2088772694812545208")</x:f>
      </x:c>
      <x:c t="inlineStr" r="M182">
        <x:is>
          <x:t>Negativo</x:t>
        </x:is>
      </x:c>
      <x:c t="inlineStr" r="N182">
        <x:is>
          <x:t>annelym 💋</x:t>
        </x:is>
      </x:c>
      <x:c t="inlineStr" r="O182">
        <x:is>
          <x:t>annelymac</x:t>
        </x:is>
      </x:c>
      <x:c r="P182">
        <x:f>HYPERLINK("http://x.com/annelymac")</x:f>
      </x:c>
      <x:c t="n" r="Q182">
        <x:v>201</x:v>
      </x:c>
      <x:c t="inlineStr" r="R182"/>
      <x:c t="inlineStr" r="S182"/>
      <x:c t="inlineStr" r="T182">
        <x:is>
          <x:t>x.com</x:t>
        </x:is>
      </x:c>
      <x:c t="inlineStr" r="U182"/>
      <x:c t="inlineStr" r="V182"/>
      <x:c t="inlineStr" r="W182"/>
      <x:c t="inlineStr" r="X182"/>
      <x:c t="inlineStr" r="Y182">
        <x:is>
          <x:t>Rede social</x:t>
        </x:is>
      </x:c>
      <x:c t="inlineStr" r="Z182">
        <x:is>
          <x:t>Português</x:t>
        </x:is>
      </x:c>
      <x:c t="inlineStr" r="AA182">
        <x:is>
          <x:t>Brasil</x:t>
        </x:is>
      </x:c>
      <x:c t="inlineStr" r="AB182"/>
      <x:c t="inlineStr" r="AC182"/>
      <x:c t="inlineStr" r="AD182"/>
      <x:c t="inlineStr" r="AE182"/>
      <x:c t="n" r="AF182">
        <x:v>0</x:v>
      </x:c>
      <x:c t="inlineStr" r="AG182"/>
      <x:c t="inlineStr" r="AH182"/>
      <x:c t="inlineStr" r="AI182"/>
      <x:c t="inlineStr" r="AJ182"/>
      <x:c t="inlineStr" r="AK182"/>
      <x:c t="inlineStr" r="AL182"/>
      <x:c t="inlineStr" r="AM182"/>
      <x:c t="inlineStr" r="AN182"/>
      <x:c t="inlineStr" r="AO182"/>
      <x:c t="inlineStr" r="AP182"/>
      <x:c t="inlineStr" r="AQ182"/>
      <x:c t="inlineStr" r="AR182"/>
      <x:c t="inlineStr" r="AS182"/>
      <x:c t="inlineStr" r="AT182"/>
      <x:c t="n" r="AU182">
        <x:v>201</x:v>
      </x:c>
      <x:c t="inlineStr" r="AV182"/>
      <x:c t="inlineStr" r="AW182">
        <x:is>
          <x:t>Ipimax</x:t>
        </x:is>
      </x:c>
      <x:c t="inlineStr" r="AX182">
        <x:is>
          <x:t>vehicle,car</x:t>
        </x:is>
      </x:c>
      <x:c t="inlineStr" r="AY182">
        <x:is>
          <x:t/>
        </x:is>
      </x:c>
      <x:c t="inlineStr" r="AZ182">
        <x:is>
          <x:t>woman</x:t>
        </x:is>
      </x:c>
      <x:c t="inlineStr" r="BA182">
        <x:is>
          <x:t/>
        </x:is>
      </x:c>
      <x:c t="inlineStr" r="BB182">
        <x:is>
          <x:t>PHOTO</x:t>
        </x:is>
      </x:c>
      <x:c t="inlineStr" r="BC182"/>
      <x:c r="BD182">
        <x:f>HYPERLINK("https://pbs.twimg.com/media/HPyZTEQXEAAkhck.jpg")</x:f>
      </x:c>
      <x:c t="inlineStr" r="BE182">
        <x:is>
          <x:t/>
        </x:is>
      </x:c>
      <x:c t="inlineStr" r="BF182">
        <x:is>
          <x:t>Não</x:t>
        </x:is>
      </x:c>
      <x:c t="inlineStr" r="BG182"/>
      <x:c t="inlineStr" r="BH182">
        <x:is>
          <x:t>Celebridades</x:t>
        </x:is>
      </x:c>
      <x:c t="inlineStr" r="BI182">
        <x:is>
          <x:t/>
        </x:is>
      </x:c>
      <x:c t="inlineStr" r="BJ182"/>
      <x:c t="inlineStr" r="BK182">
        <x:is>
          <x:t>Ipiranga,Rock In Rio</x:t>
        </x:is>
      </x:c>
      <x:c t="inlineStr" r="BL182"/>
      <x:c t="inlineStr" r="BM182"/>
      <x:c t="inlineStr" r="BN182"/>
      <x:c t="inlineStr" r="BO182"/>
      <x:c t="inlineStr" r="BP182"/>
      <x:c t="inlineStr" r="BQ182"/>
      <x:c t="inlineStr" r="BR182"/>
      <x:c t="inlineStr" r="BS182"/>
      <x:c t="inlineStr" r="BT182"/>
      <x:c t="inlineStr" r="BU182"/>
      <x:c t="inlineStr" r="BV182"/>
      <x:c t="inlineStr" r="BW182"/>
      <x:c t="inlineStr" r="BX182"/>
      <x:c t="inlineStr" r="BY182"/>
      <x:c t="inlineStr" r="BZ182">
        <x:is>
          <x:t>Ipiranga</x:t>
        </x:is>
      </x:c>
      <x:c t="inlineStr" r="CA182"/>
      <x:c t="inlineStr" r="CB182"/>
      <x:c t="inlineStr" r="CC182"/>
      <x:c t="inlineStr" r="CD182"/>
      <x:c t="inlineStr" r="CE182">
        <x:is>
          <x:t>Rock In Rio</x:t>
        </x:is>
      </x:c>
      <x:c t="inlineStr" r="CF182"/>
    </x:row>
    <x:row r="183">
      <x:c t="n" r="A183">
        <x:v>331122324</x:v>
      </x:c>
      <x:c t="inlineStr" r="B183">
        <x:is>
          <x:t>15.08.2026</x:t>
        </x:is>
      </x:c>
      <x:c t="inlineStr" r="C183">
        <x:is>
          <x:t>18:24</x:t>
        </x:is>
      </x:c>
      <x:c t="inlineStr" r="D183">
        <x:is>
          <x:t>19.08.2026 17:16</x:t>
        </x:is>
      </x:c>
      <x:c t="inlineStr" r="E183">
        <x:is>
          <x:t/>
        </x:is>
      </x:c>
      <x:c t="inlineStr" r="F183">
        <x:is>
          <x:t>Ipi, já que vocês amam uma parceria icônica, que tal levar a Sami pro Rock in Rio? 👀 a gente quer MUITO ver o encontro da Sami com a prima distante @zaralarsson, Façam esse encontro perfeituxo acontecer, Ipiranga + Sami + Zara + Rock in Rio = n tem combinação melhor!</x:t>
        </x:is>
      </x:c>
      <x:c t="inlineStr" r="G183">
        <x:is>
          <x:t/>
        </x:is>
      </x:c>
      <x:c t="inlineStr" r="H183"/>
      <x:c t="inlineStr" r="I183">
        <x:is>
          <x:t>Repost</x:t>
        </x:is>
      </x:c>
      <x:c t="inlineStr" r="J183">
        <x:is>
          <x:t>Imagem,Texto</x:t>
        </x:is>
      </x:c>
      <x:c t="inlineStr" r="K183"/>
      <x:c r="L183">
        <x:f>HYPERLINK("https://x.com/viiiiiiihhhhhhh/status/2088738507246473523")</x:f>
      </x:c>
      <x:c t="inlineStr" r="M183">
        <x:is>
          <x:t>Negativo</x:t>
        </x:is>
      </x:c>
      <x:c t="inlineStr" r="N183">
        <x:is>
          <x:t>vitória</x:t>
        </x:is>
      </x:c>
      <x:c t="inlineStr" r="O183">
        <x:is>
          <x:t>viiiiiiihhhhhhh</x:t>
        </x:is>
      </x:c>
      <x:c r="P183">
        <x:f>HYPERLINK("http://x.com/viiiiiiihhhhhhh")</x:f>
      </x:c>
      <x:c t="n" r="Q183">
        <x:v>452</x:v>
      </x:c>
      <x:c t="inlineStr" r="R183">
        <x:is>
          <x:t>Mulher</x:t>
        </x:is>
      </x:c>
      <x:c t="inlineStr" r="S183"/>
      <x:c t="inlineStr" r="T183">
        <x:is>
          <x:t>x.com</x:t>
        </x:is>
      </x:c>
      <x:c t="inlineStr" r="U183"/>
      <x:c t="inlineStr" r="V183"/>
      <x:c t="inlineStr" r="W183"/>
      <x:c t="inlineStr" r="X183"/>
      <x:c t="inlineStr" r="Y183">
        <x:is>
          <x:t>Rede social</x:t>
        </x:is>
      </x:c>
      <x:c t="inlineStr" r="Z183">
        <x:is>
          <x:t>Português</x:t>
        </x:is>
      </x:c>
      <x:c t="inlineStr" r="AA183">
        <x:is>
          <x:t>Brasil</x:t>
        </x:is>
      </x:c>
      <x:c t="inlineStr" r="AB183"/>
      <x:c t="inlineStr" r="AC183"/>
      <x:c t="inlineStr" r="AD183"/>
      <x:c t="inlineStr" r="AE183"/>
      <x:c t="n" r="AF183">
        <x:v>0</x:v>
      </x:c>
      <x:c t="inlineStr" r="AG183"/>
      <x:c t="inlineStr" r="AH183"/>
      <x:c t="inlineStr" r="AI183"/>
      <x:c t="inlineStr" r="AJ183"/>
      <x:c t="inlineStr" r="AK183"/>
      <x:c t="inlineStr" r="AL183"/>
      <x:c t="inlineStr" r="AM183"/>
      <x:c t="inlineStr" r="AN183"/>
      <x:c t="inlineStr" r="AO183"/>
      <x:c t="inlineStr" r="AP183"/>
      <x:c t="inlineStr" r="AQ183"/>
      <x:c t="inlineStr" r="AR183"/>
      <x:c t="inlineStr" r="AS183"/>
      <x:c t="inlineStr" r="AT183"/>
      <x:c t="n" r="AU183">
        <x:v>452</x:v>
      </x:c>
      <x:c t="inlineStr" r="AV183"/>
      <x:c t="inlineStr" r="AW183">
        <x:is>
          <x:t>Ipimax</x:t>
        </x:is>
      </x:c>
      <x:c t="inlineStr" r="AX183">
        <x:is>
          <x:t>vehicle,car</x:t>
        </x:is>
      </x:c>
      <x:c t="inlineStr" r="AY183">
        <x:is>
          <x:t/>
        </x:is>
      </x:c>
      <x:c t="inlineStr" r="AZ183">
        <x:is>
          <x:t>woman</x:t>
        </x:is>
      </x:c>
      <x:c t="inlineStr" r="BA183">
        <x:is>
          <x:t/>
        </x:is>
      </x:c>
      <x:c t="inlineStr" r="BB183">
        <x:is>
          <x:t>PHOTO</x:t>
        </x:is>
      </x:c>
      <x:c t="inlineStr" r="BC183"/>
      <x:c r="BD183">
        <x:f>HYPERLINK("https://pbs.twimg.com/media/HPyZTEQXEAAkhck.jpg")</x:f>
      </x:c>
      <x:c t="inlineStr" r="BE183">
        <x:is>
          <x:t/>
        </x:is>
      </x:c>
      <x:c t="inlineStr" r="BF183">
        <x:is>
          <x:t>Não</x:t>
        </x:is>
      </x:c>
      <x:c t="inlineStr" r="BG183"/>
      <x:c t="inlineStr" r="BH183">
        <x:is>
          <x:t>Celebridades</x:t>
        </x:is>
      </x:c>
      <x:c t="inlineStr" r="BI183">
        <x:is>
          <x:t/>
        </x:is>
      </x:c>
      <x:c t="inlineStr" r="BJ183"/>
      <x:c t="inlineStr" r="BK183">
        <x:is>
          <x:t>Ipiranga,Rock In Rio</x:t>
        </x:is>
      </x:c>
      <x:c t="inlineStr" r="BL183"/>
      <x:c t="inlineStr" r="BM183"/>
      <x:c t="inlineStr" r="BN183"/>
      <x:c t="inlineStr" r="BO183"/>
      <x:c t="inlineStr" r="BP183"/>
      <x:c t="inlineStr" r="BQ183"/>
      <x:c t="inlineStr" r="BR183"/>
      <x:c t="inlineStr" r="BS183"/>
      <x:c t="inlineStr" r="BT183"/>
      <x:c t="inlineStr" r="BU183"/>
      <x:c t="inlineStr" r="BV183"/>
      <x:c t="inlineStr" r="BW183"/>
      <x:c t="inlineStr" r="BX183"/>
      <x:c t="inlineStr" r="BY183"/>
      <x:c t="inlineStr" r="BZ183">
        <x:is>
          <x:t>Ipiranga</x:t>
        </x:is>
      </x:c>
      <x:c t="inlineStr" r="CA183"/>
      <x:c t="inlineStr" r="CB183"/>
      <x:c t="inlineStr" r="CC183"/>
      <x:c t="inlineStr" r="CD183"/>
      <x:c t="inlineStr" r="CE183">
        <x:is>
          <x:t>Rock In Rio</x:t>
        </x:is>
      </x:c>
      <x:c t="inlineStr" r="CF183"/>
    </x:row>
    <x:row r="184">
      <x:c t="n" r="A184">
        <x:v>487099659</x:v>
      </x:c>
      <x:c t="inlineStr" r="B184">
        <x:is>
          <x:t>15.08.2026</x:t>
        </x:is>
      </x:c>
      <x:c t="inlineStr" r="C184">
        <x:is>
          <x:t>16:42</x:t>
        </x:is>
      </x:c>
      <x:c t="inlineStr" r="D184">
        <x:is>
          <x:t>02.09.2026 02:41</x:t>
        </x:is>
      </x:c>
      <x:c t="inlineStr" r="E184">
        <x:is>
          <x:t/>
        </x:is>
      </x:c>
      <x:c t="inlineStr" r="F184">
        <x:is>
          <x:t>Ipi, já que vocês amam uma parceria icônica, que tal levar a Sami pro Rock in Rio? 👀 a gente quer MUITO ver o encontro da Sami com a prima distante @zaralarsson, Façam esse encontro perfeituxo acontecer, Ipiranga + Sami + Zara + Rock in Rio = n tem combinação melhor!</x:t>
        </x:is>
      </x:c>
      <x:c t="inlineStr" r="G184">
        <x:is>
          <x:t/>
        </x:is>
      </x:c>
      <x:c t="inlineStr" r="H184"/>
      <x:c t="inlineStr" r="I184">
        <x:is>
          <x:t>Postar</x:t>
        </x:is>
      </x:c>
      <x:c t="inlineStr" r="J184">
        <x:is>
          <x:t>Imagem,Texto</x:t>
        </x:is>
      </x:c>
      <x:c t="inlineStr" r="K184"/>
      <x:c r="L184">
        <x:f>HYPERLINK("https://x.com/gabiistecaa_/status/2088712886843539480")</x:f>
      </x:c>
      <x:c t="inlineStr" r="M184">
        <x:is>
          <x:t>Negativo</x:t>
        </x:is>
      </x:c>
      <x:c t="inlineStr" r="N184">
        <x:is>
          <x:t>gabis 💋</x:t>
        </x:is>
      </x:c>
      <x:c t="inlineStr" r="O184">
        <x:is>
          <x:t>gabiistecaa_</x:t>
        </x:is>
      </x:c>
      <x:c r="P184">
        <x:f>HYPERLINK("http://x.com/gabiistecaa_")</x:f>
      </x:c>
      <x:c t="n" r="Q184">
        <x:v>255</x:v>
      </x:c>
      <x:c t="inlineStr" r="R184"/>
      <x:c t="inlineStr" r="S184"/>
      <x:c t="inlineStr" r="T184">
        <x:is>
          <x:t>x.com</x:t>
        </x:is>
      </x:c>
      <x:c t="inlineStr" r="U184"/>
      <x:c t="inlineStr" r="V184"/>
      <x:c t="inlineStr" r="W184"/>
      <x:c t="inlineStr" r="X184"/>
      <x:c t="inlineStr" r="Y184">
        <x:is>
          <x:t>Rede social</x:t>
        </x:is>
      </x:c>
      <x:c t="inlineStr" r="Z184">
        <x:is>
          <x:t>Português</x:t>
        </x:is>
      </x:c>
      <x:c t="inlineStr" r="AA184">
        <x:is>
          <x:t>Brasil</x:t>
        </x:is>
      </x:c>
      <x:c t="inlineStr" r="AB184"/>
      <x:c t="inlineStr" r="AC184"/>
      <x:c t="inlineStr" r="AD184"/>
      <x:c t="n" r="AE184">
        <x:v>48</x:v>
      </x:c>
      <x:c t="n" r="AF184">
        <x:v>83</x:v>
      </x:c>
      <x:c t="n" r="AG184">
        <x:v>48</x:v>
      </x:c>
      <x:c t="inlineStr" r="AH184"/>
      <x:c t="inlineStr" r="AI184"/>
      <x:c t="inlineStr" r="AJ184"/>
      <x:c t="inlineStr" r="AK184"/>
      <x:c t="inlineStr" r="AL184"/>
      <x:c t="inlineStr" r="AM184"/>
      <x:c t="inlineStr" r="AN184"/>
      <x:c t="n" r="AO184">
        <x:v>19</x:v>
      </x:c>
      <x:c t="n" r="AP184">
        <x:v>16</x:v>
      </x:c>
      <x:c t="n" r="AQ184">
        <x:v>913</x:v>
      </x:c>
      <x:c t="inlineStr" r="AR184"/>
      <x:c t="inlineStr" r="AS184"/>
      <x:c t="inlineStr" r="AT184"/>
      <x:c t="n" r="AU184">
        <x:v>255</x:v>
      </x:c>
      <x:c t="inlineStr" r="AV184"/>
      <x:c t="inlineStr" r="AW184">
        <x:is>
          <x:t>Ipimax</x:t>
        </x:is>
      </x:c>
      <x:c t="inlineStr" r="AX184">
        <x:is>
          <x:t>vehicle,car</x:t>
        </x:is>
      </x:c>
      <x:c t="inlineStr" r="AY184">
        <x:is>
          <x:t/>
        </x:is>
      </x:c>
      <x:c t="inlineStr" r="AZ184">
        <x:is>
          <x:t>woman</x:t>
        </x:is>
      </x:c>
      <x:c t="inlineStr" r="BA184">
        <x:is>
          <x:t/>
        </x:is>
      </x:c>
      <x:c t="inlineStr" r="BB184">
        <x:is>
          <x:t>PHOTO</x:t>
        </x:is>
      </x:c>
      <x:c t="inlineStr" r="BC184"/>
      <x:c r="BD184">
        <x:f>HYPERLINK("https://pbs.twimg.com/media/HPyZTEQXEAAkhck.jpg")</x:f>
      </x:c>
      <x:c t="inlineStr" r="BE184">
        <x:is>
          <x:t/>
        </x:is>
      </x:c>
      <x:c t="inlineStr" r="BF184">
        <x:is>
          <x:t>Não</x:t>
        </x:is>
      </x:c>
      <x:c t="inlineStr" r="BG184"/>
      <x:c t="inlineStr" r="BH184">
        <x:is>
          <x:t>Celebridades</x:t>
        </x:is>
      </x:c>
      <x:c t="inlineStr" r="BI184">
        <x:is>
          <x:t/>
        </x:is>
      </x:c>
      <x:c t="inlineStr" r="BJ184"/>
      <x:c t="inlineStr" r="BK184">
        <x:is>
          <x:t>Ipiranga,Rock In Rio</x:t>
        </x:is>
      </x:c>
      <x:c t="inlineStr" r="BL184"/>
      <x:c t="inlineStr" r="BM184"/>
      <x:c t="inlineStr" r="BN184"/>
      <x:c t="inlineStr" r="BO184"/>
      <x:c t="inlineStr" r="BP184"/>
      <x:c t="inlineStr" r="BQ184"/>
      <x:c t="inlineStr" r="BR184"/>
      <x:c t="inlineStr" r="BS184"/>
      <x:c t="inlineStr" r="BT184"/>
      <x:c t="inlineStr" r="BU184"/>
      <x:c t="inlineStr" r="BV184"/>
      <x:c t="inlineStr" r="BW184"/>
      <x:c t="inlineStr" r="BX184"/>
      <x:c t="inlineStr" r="BY184"/>
      <x:c t="inlineStr" r="BZ184">
        <x:is>
          <x:t>Ipiranga</x:t>
        </x:is>
      </x:c>
      <x:c t="inlineStr" r="CA184"/>
      <x:c t="inlineStr" r="CB184"/>
      <x:c t="inlineStr" r="CC184"/>
      <x:c t="inlineStr" r="CD184"/>
      <x:c t="inlineStr" r="CE184">
        <x:is>
          <x:t>Rock In Rio</x:t>
        </x:is>
      </x:c>
      <x:c t="inlineStr" r="CF184"/>
    </x:row>
    <x:row r="185">
      <x:c t="n" r="A185">
        <x:v>59811432</x:v>
      </x:c>
      <x:c t="inlineStr" r="B185">
        <x:is>
          <x:t>15.08.2026</x:t>
        </x:is>
      </x:c>
      <x:c t="inlineStr" r="C185">
        <x:is>
          <x:t>14:46</x:t>
        </x:is>
      </x:c>
      <x:c t="inlineStr" r="D185">
        <x:is>
          <x:t>15.08.2026 20:18</x:t>
        </x:is>
      </x:c>
      <x:c t="inlineStr" r="E185">
        <x:is>
          <x:t/>
        </x:is>
      </x:c>
      <x:c t="str" r="F185">
        <x:v>Tem muita novidade chegando no Rock in Rio 2026 e algumas delas já estão dando o que falar!
O último dia do festival terá um espetáculo com 1.500 drones, enquanto marcas como VENANCIO, 3 CORAÇÕES, CIF, IPIRANGA, HEINEKEN, IFOOD e TIC TAC chegam com ativações, experiências, brindes e promoções para o público.
Tem farmácia dentro da Cidade do Rock, refil de café, desafio musical valendo mascote colecionável, resgate de ingressos pelo KMV e até uma playlist da HEINEKEN sendo construída em tempo real com as músicas mais cantadas no festival.
E atenção: o IFOOD prorrogou até 26 de agosto a promoção que pode levar você para o Rock in Rio com ingressos, viagens, hospedagens e experiências VIP.
Desliza o carrossel para conferir todas as novidades e me conta: qual dessas ativações você ficou mais curiosa para conhecer?
#RockInRio #RockInRio2026 #CidadeDoRock #DicasAndressa</x:v>
      </x:c>
      <x:c t="inlineStr" r="G185">
        <x:is>
          <x:t/>
        </x:is>
      </x:c>
      <x:c t="inlineStr" r="H185"/>
      <x:c t="inlineStr" r="I185">
        <x:is>
          <x:t>Postar</x:t>
        </x:is>
      </x:c>
      <x:c t="inlineStr" r="J185">
        <x:is>
          <x:t>Texto,Álbum,Imagem</x:t>
        </x:is>
      </x:c>
      <x:c t="inlineStr" r="K185"/>
      <x:c r="L185">
        <x:f>HYPERLINK("https://www.instagram.com/p/DcEdRnrlNqn/")</x:f>
      </x:c>
      <x:c t="inlineStr" r="M185">
        <x:is>
          <x:t>Negativo</x:t>
        </x:is>
      </x:c>
      <x:c t="inlineStr" r="N185">
        <x:is>
          <x:t>Andressa | Dicas | Shows</x:t>
        </x:is>
      </x:c>
      <x:c t="inlineStr" r="O185">
        <x:is>
          <x:t>dicasandressa</x:t>
        </x:is>
      </x:c>
      <x:c r="P185">
        <x:f>HYPERLINK("http://instagram.com/dicasandressa")</x:f>
      </x:c>
      <x:c t="n" r="Q185">
        <x:v>25522</x:v>
      </x:c>
      <x:c t="inlineStr" r="R185">
        <x:is>
          <x:t>Mulher</x:t>
        </x:is>
      </x:c>
      <x:c t="inlineStr" r="S185"/>
      <x:c t="inlineStr" r="T185">
        <x:is>
          <x:t>instagram.com</x:t>
        </x:is>
      </x:c>
      <x:c t="inlineStr" r="U185">
        <x:is>
          <x:t>Andressa | Dicas | Shows</x:t>
        </x:is>
      </x:c>
      <x:c r="V185">
        <x:f>HYPERLINK("http://instagram.com/dicasandressa")</x:f>
      </x:c>
      <x:c t="n" r="W185">
        <x:v>25522</x:v>
      </x:c>
      <x:c t="inlineStr" r="X185"/>
      <x:c t="inlineStr" r="Y185">
        <x:is>
          <x:t>Rede social</x:t>
        </x:is>
      </x:c>
      <x:c t="inlineStr" r="Z185">
        <x:is>
          <x:t>Português</x:t>
        </x:is>
      </x:c>
      <x:c t="inlineStr" r="AA185"/>
      <x:c t="inlineStr" r="AB185"/>
      <x:c t="inlineStr" r="AC185"/>
      <x:c t="inlineStr" r="AD185"/>
      <x:c t="n" r="AE185">
        <x:v>1755</x:v>
      </x:c>
      <x:c t="n" r="AF185">
        <x:v>1784</x:v>
      </x:c>
      <x:c t="n" r="AG185">
        <x:v>1755</x:v>
      </x:c>
      <x:c t="inlineStr" r="AH185"/>
      <x:c t="inlineStr" r="AI185"/>
      <x:c t="inlineStr" r="AJ185"/>
      <x:c t="inlineStr" r="AK185"/>
      <x:c t="inlineStr" r="AL185"/>
      <x:c t="inlineStr" r="AM185"/>
      <x:c t="inlineStr" r="AN185"/>
      <x:c t="n" r="AO185">
        <x:v>29</x:v>
      </x:c>
      <x:c t="inlineStr" r="AP185"/>
      <x:c t="inlineStr" r="AQ185"/>
      <x:c t="inlineStr" r="AR185"/>
      <x:c t="inlineStr" r="AS185"/>
      <x:c t="inlineStr" r="AT185"/>
      <x:c t="n" r="AU185">
        <x:v>25522</x:v>
      </x:c>
      <x:c t="inlineStr" r="AV185"/>
      <x:c t="inlineStr" r="AW185">
        <x:is>
          <x:t/>
        </x:is>
      </x:c>
      <x:c t="inlineStr" r="AX185">
        <x:is>
          <x:t>sunglasses,text,black hair,long hair,clothing,camera</x:t>
        </x:is>
      </x:c>
      <x:c t="inlineStr" r="AY185">
        <x:is>
          <x:t/>
        </x:is>
      </x:c>
      <x:c t="inlineStr" r="AZ185">
        <x:is>
          <x:t>man,woman</x:t>
        </x:is>
      </x:c>
      <x:c t="inlineStr" r="BA185">
        <x:is>
          <x:t>standing</x:t>
        </x:is>
      </x:c>
      <x:c t="inlineStr" r="BB185">
        <x:is>
          <x:t>ILLUSTRATION</x:t>
        </x:is>
      </x:c>
      <x:c t="inlineStr" r="BC185"/>
      <x:c t="inlineStr" r="BD185">
        <x:is>
          <x:t>https://scontent-sin11-1.cdninstagram.com/v/t51.82787-15/774993499_18111315641102114_2052015247302889786_n.jpg?stp=dst-jpg_e35_tt6&amp;_nc_cat=105&amp;ig_cache_key=Mzk2NDQyMTk0ODUxOTg4NTgzOA%3D%3D.3-ccb7-5&amp;ccb=7-5&amp;_nc_sid=58cdad&amp;efg=eyJ2ZW5jb2RlX3RhZyI6IkNBUk9VU0VMX0lURU0ueHBpZHMuMTA4MC5zZHIucmVndWxhcl9waG90by5DMyJ9&amp;_nc_ohc=6k4YgX2MwwQQ7kNvwGiCwu4&amp;_nc_oc=Adr8Ke0EugYKJ79UqTJbUXGbK_WAQ-pkbMw9qAuW6tbKwr7aopQuV4iQM9nI3bXlW0k&amp;_nc_zt=23&amp;_nc_ht=scontent-sin11-1.cdninstagram.com&amp;_nc_gid=4Ak-AT5RSnpx6n6mywHk_A&amp;_nc_ss=70a8c&amp;oh=00_AQGfTmdNtLFnff8kygvhQ7eZsUcH9IEB7aEfZgi66K0KEg&amp;oe=6A86B136</x:t>
        </x:is>
      </x:c>
      <x:c t="inlineStr" r="BE185">
        <x:is>
          <x:t/>
        </x:is>
      </x:c>
      <x:c t="inlineStr" r="BF185">
        <x:is>
          <x:t>Não</x:t>
        </x:is>
      </x:c>
      <x:c t="inlineStr" r="BG185"/>
      <x:c t="inlineStr" r="BH185">
        <x:is>
          <x:t>Acontecimento</x:t>
        </x:is>
      </x:c>
      <x:c t="inlineStr" r="BI185">
        <x:is>
          <x:t>Promoção</x:t>
        </x:is>
      </x:c>
      <x:c t="inlineStr" r="BJ185"/>
      <x:c t="inlineStr" r="BK185">
        <x:is>
          <x:t>Ipiranga,App KMV,Rock In Rio</x:t>
        </x:is>
      </x:c>
      <x:c t="inlineStr" r="BL185"/>
      <x:c t="inlineStr" r="BM185"/>
      <x:c t="inlineStr" r="BN185"/>
      <x:c t="inlineStr" r="BO185"/>
      <x:c t="inlineStr" r="BP185"/>
      <x:c t="inlineStr" r="BQ185"/>
      <x:c t="inlineStr" r="BR185"/>
      <x:c t="inlineStr" r="BS185"/>
      <x:c t="inlineStr" r="BT185"/>
      <x:c t="inlineStr" r="BU185"/>
      <x:c t="inlineStr" r="BV185"/>
      <x:c t="inlineStr" r="BW185"/>
      <x:c t="inlineStr" r="BX185"/>
      <x:c t="inlineStr" r="BY185"/>
      <x:c t="inlineStr" r="BZ185">
        <x:is>
          <x:t>Ipiranga</x:t>
        </x:is>
      </x:c>
      <x:c t="inlineStr" r="CA185"/>
      <x:c t="inlineStr" r="CB185"/>
      <x:c t="inlineStr" r="CC185"/>
      <x:c t="inlineStr" r="CD185">
        <x:is>
          <x:t>App KMV</x:t>
        </x:is>
      </x:c>
      <x:c t="inlineStr" r="CE185">
        <x:is>
          <x:t>Rock In Rio</x:t>
        </x:is>
      </x:c>
      <x:c t="inlineStr" r="CF185"/>
    </x:row>
    <x:row r="186">
      <x:c t="n" r="A186">
        <x:v>4075368021</x:v>
      </x:c>
      <x:c t="inlineStr" r="B186">
        <x:is>
          <x:t>15.08.2026</x:t>
        </x:is>
      </x:c>
      <x:c t="inlineStr" r="C186">
        <x:is>
          <x:t>11:31</x:t>
        </x:is>
      </x:c>
      <x:c t="inlineStr" r="D186">
        <x:is>
          <x:t>17.08.2026 04:48</x:t>
        </x:is>
      </x:c>
      <x:c t="inlineStr" r="E186">
        <x:is>
          <x:t/>
        </x:is>
      </x:c>
      <x:c t="str" r="F186">
        <x:v>Ingressos de gramado para o Rock in Rio Brasil 2026? Essa parada é só na Parada Completa. 🎸⛽Baixe o app KMV e resgate ingressos para algumas das datas mais esperadas do festival trocando pontos + dinheiro.​
#Ipiranga #KMV #RockInRio #ParadaCompleta
🔧 Troca de óleo todos os dias para manter seu veículo sempre pronto!
⏰ Posto 24h, abasteça a qualquer hora do dia ou da noite.
🏪 Conveniência AMPM, com lanches deliciosos, café e produtos essenciais.
💊 Farmácia Raia para sua comodidade e bem-estar.
WhatsApp
(24) 97405-3154
Mais que um posto, um ambiente completo pra você!
#postoipirangaalegria #opostocompletãoderesende #combustíveldequalidade #ipiranga #ampm  #posto24h #jetoil</x:v>
      </x:c>
      <x:c t="inlineStr" r="G186">
        <x:is>
          <x:t/>
        </x:is>
      </x:c>
      <x:c t="inlineStr" r="H186"/>
      <x:c t="inlineStr" r="I186">
        <x:is>
          <x:t>Postar</x:t>
        </x:is>
      </x:c>
      <x:c t="inlineStr" r="J186">
        <x:is>
          <x:t>Texto,Vídeo</x:t>
        </x:is>
      </x:c>
      <x:c t="inlineStr" r="K186">
        <x:is>
          <x:t>InstagramReels</x:t>
        </x:is>
      </x:c>
      <x:c r="L186">
        <x:f>HYPERLINK("https://www.instagram.com/p/DcEG5fGije7/")</x:f>
      </x:c>
      <x:c t="inlineStr" r="M186">
        <x:is>
          <x:t>Negativo</x:t>
        </x:is>
      </x:c>
      <x:c t="inlineStr" r="N186">
        <x:is>
          <x:t>Posto Ipiranga Alegria</x:t>
        </x:is>
      </x:c>
      <x:c t="inlineStr" r="O186">
        <x:is>
          <x:t>ipirangaalegria</x:t>
        </x:is>
      </x:c>
      <x:c r="P186">
        <x:f>HYPERLINK("http://instagram.com/ipirangaalegria")</x:f>
      </x:c>
      <x:c t="n" r="Q186">
        <x:v>3034</x:v>
      </x:c>
      <x:c t="inlineStr" r="R186"/>
      <x:c t="inlineStr" r="S186"/>
      <x:c t="inlineStr" r="T186">
        <x:is>
          <x:t>instagram.com</x:t>
        </x:is>
      </x:c>
      <x:c t="inlineStr" r="U186">
        <x:is>
          <x:t>Posto Ipiranga Alegria</x:t>
        </x:is>
      </x:c>
      <x:c r="V186">
        <x:f>HYPERLINK("http://instagram.com/ipirangaalegria")</x:f>
      </x:c>
      <x:c t="n" r="W186">
        <x:v>3034</x:v>
      </x:c>
      <x:c t="inlineStr" r="X186"/>
      <x:c t="inlineStr" r="Y186">
        <x:is>
          <x:t>Rede social</x:t>
        </x:is>
      </x:c>
      <x:c t="inlineStr" r="Z186">
        <x:is>
          <x:t>Português</x:t>
        </x:is>
      </x:c>
      <x:c t="inlineStr" r="AA186"/>
      <x:c t="inlineStr" r="AB186"/>
      <x:c t="inlineStr" r="AC186"/>
      <x:c t="inlineStr" r="AD186"/>
      <x:c t="n" r="AE186">
        <x:v>1</x:v>
      </x:c>
      <x:c t="n" r="AF186">
        <x:v>1</x:v>
      </x:c>
      <x:c t="n" r="AG186">
        <x:v>1</x:v>
      </x:c>
      <x:c t="inlineStr" r="AH186"/>
      <x:c t="inlineStr" r="AI186"/>
      <x:c t="inlineStr" r="AJ186"/>
      <x:c t="inlineStr" r="AK186"/>
      <x:c t="inlineStr" r="AL186"/>
      <x:c t="inlineStr" r="AM186"/>
      <x:c t="inlineStr" r="AN186"/>
      <x:c t="n" r="AO186">
        <x:v>0</x:v>
      </x:c>
      <x:c t="inlineStr" r="AP186"/>
      <x:c t="n" r="AQ186">
        <x:v>59</x:v>
      </x:c>
      <x:c t="inlineStr" r="AR186"/>
      <x:c t="inlineStr" r="AS186"/>
      <x:c t="inlineStr" r="AT186"/>
      <x:c t="n" r="AU186">
        <x:v>3034</x:v>
      </x:c>
      <x:c t="inlineStr" r="AV186"/>
      <x:c t="inlineStr" r="AW186">
        <x:is>
          <x:t/>
        </x:is>
      </x:c>
      <x:c t="inlineStr" r="AX186">
        <x:is>
          <x:t>clothing,text,finger,shirt</x:t>
        </x:is>
      </x:c>
      <x:c t="inlineStr" r="AY186">
        <x:is>
          <x:t/>
        </x:is>
      </x:c>
      <x:c t="inlineStr" r="AZ186">
        <x:is>
          <x:t>man</x:t>
        </x:is>
      </x:c>
      <x:c t="inlineStr" r="BA186">
        <x:is>
          <x:t/>
        </x:is>
      </x:c>
      <x:c t="inlineStr" r="BB186">
        <x:is>
          <x:t>ILLUSTRATION</x:t>
        </x:is>
      </x:c>
      <x:c t="inlineStr" r="BC186">
        <x:is>
          <x:t>photo caption</x:t>
        </x:is>
      </x:c>
      <x:c t="inlineStr" r="BD186">
        <x:is>
          <x:t>https://instagram.fslv2-1.fna.fbcdn.net/v/t51.82787-15/775407243_18335383951287167_6518934079183254685_n.jpg?stp=dst-jpg_e15_tt6&amp;_nc_cat=108&amp;ig_cache_key=Mzk2NDMyMzkxMDY3NzgzNzc1NTE4MzM1MzgzOTQ4Mjg3MTY3.3-ccb7-5&amp;ccb=7-5&amp;_nc_sid=58cdad&amp;efg=eyJ2ZW5jb2RlX3RhZyI6IkNMSVBTLnhwaWRzLjY0MC5zZHIudmlkZW9fZGVmYXVsdF9jb3Zlcl9mcmFtZS5DMyJ9&amp;_nc_ohc=Ipzfz2OYO0cQ7kNvwFyM2Rx&amp;_nc_oc=AdqDCYnmIMy5PtjYye_H2MnoceFDya1Hk82PcNNbj1zq9RtGN5a3ihhjhiJ0AfTIn8s&amp;_nc_ad=z-m&amp;_nc_cid=0&amp;_nc_zt=23&amp;_nc_ht=instagram.fslv2-1.fna&amp;_nc_gid=EDQFVorJ6bFpBOAzU6l5Vw&amp;_nc_ss=7a22e&amp;oh=00_AQFiRDvOcmXGSDtlMv3C40ps8wdfIqbioNBSsSTNteaIUQ&amp;oe=6A889020</x:t>
        </x:is>
      </x:c>
      <x:c t="inlineStr" r="BE186">
        <x:is>
          <x:t/>
        </x:is>
      </x:c>
      <x:c t="inlineStr" r="BF186">
        <x:is>
          <x:t>Não</x:t>
        </x:is>
      </x:c>
      <x:c t="inlineStr" r="BG186"/>
      <x:c t="inlineStr" r="BH186">
        <x:is>
          <x:t/>
        </x:is>
      </x:c>
      <x:c t="inlineStr" r="BI186">
        <x:is>
          <x:t>Comércio</x:t>
        </x:is>
      </x:c>
      <x:c t="inlineStr" r="BJ186"/>
      <x:c t="inlineStr" r="BK186">
        <x:is>
          <x:t>Ipiranga - Contas Oficiais,Franquia - Jet Oil,Franquia - AmPm,Campanha: Parada Completa,Ipiranga,App KMV,Rock In Rio</x:t>
        </x:is>
      </x:c>
      <x:c t="inlineStr" r="BL186"/>
      <x:c t="inlineStr" r="BM186"/>
      <x:c t="inlineStr" r="BN186"/>
      <x:c t="inlineStr" r="BO186"/>
      <x:c t="inlineStr" r="BP186"/>
      <x:c t="inlineStr" r="BQ186">
        <x:is>
          <x:t>Ipiranga - Contas Oficiais</x:t>
        </x:is>
      </x:c>
      <x:c t="inlineStr" r="BR186"/>
      <x:c t="inlineStr" r="BS186"/>
      <x:c t="inlineStr" r="BT186"/>
      <x:c t="inlineStr" r="BU186"/>
      <x:c t="inlineStr" r="BV186">
        <x:is>
          <x:t>Franquia - AmPm</x:t>
        </x:is>
      </x:c>
      <x:c t="inlineStr" r="BW186"/>
      <x:c t="inlineStr" r="BX186">
        <x:is>
          <x:t>Franquia - Jet Oil</x:t>
        </x:is>
      </x:c>
      <x:c t="inlineStr" r="BY186">
        <x:is>
          <x:t>Campanha: Parada Completa</x:t>
        </x:is>
      </x:c>
      <x:c t="inlineStr" r="BZ186">
        <x:is>
          <x:t>Ipiranga</x:t>
        </x:is>
      </x:c>
      <x:c t="inlineStr" r="CA186"/>
      <x:c t="inlineStr" r="CB186"/>
      <x:c t="inlineStr" r="CC186"/>
      <x:c t="inlineStr" r="CD186">
        <x:is>
          <x:t>App KMV</x:t>
        </x:is>
      </x:c>
      <x:c t="inlineStr" r="CE186">
        <x:is>
          <x:t>Rock In Rio</x:t>
        </x:is>
      </x:c>
      <x:c t="inlineStr" r="CF186"/>
    </x:row>
    <x:row r="187">
      <x:c t="n" r="A187">
        <x:v>1576151286</x:v>
      </x:c>
      <x:c t="inlineStr" r="B187">
        <x:is>
          <x:t>14.08.2026</x:t>
        </x:is>
      </x:c>
      <x:c t="inlineStr" r="C187">
        <x:is>
          <x:t>15:22</x:t>
        </x:is>
      </x:c>
      <x:c t="inlineStr" r="D187">
        <x:is>
          <x:t>15.08.2026 09:46</x:t>
        </x:is>
      </x:c>
      <x:c t="inlineStr" r="E187">
        <x:is>
          <x:t/>
        </x:is>
      </x:c>
      <x:c t="str" r="F187">
        <x:v>Última chance de participar da Promoção Parada Completa IPIRANGA 🔥🚙
Abasteça com Ipimax, pague pelo app KMV e garanta +10 números da sorte.
Você também ganha +2 números da sorte em compras a partir de R$ 10 na AmPm ou no Jet Oil.
São mais de R$ 1 milhão em prêmios, incluindo uma Mitsubishi Nova Triton, uma moto 0 km, viagens, combustível e mais de 600 ingressos para o Rock in Rio Brasil 2026. Participe já!
#santarosars #postoipiranga #postovaccari</x:v>
      </x:c>
      <x:c t="inlineStr" r="G187">
        <x:is>
          <x:t/>
        </x:is>
      </x:c>
      <x:c t="inlineStr" r="H187"/>
      <x:c t="inlineStr" r="I187">
        <x:is>
          <x:t>Postar</x:t>
        </x:is>
      </x:c>
      <x:c t="inlineStr" r="J187">
        <x:is>
          <x:t>Localização,Texto,Vídeo</x:t>
        </x:is>
      </x:c>
      <x:c t="inlineStr" r="K187">
        <x:is>
          <x:t>FacebookReels</x:t>
        </x:is>
      </x:c>
      <x:c r="L187">
        <x:f>HYPERLINK("https://www.facebook.com/1669271588533207")</x:f>
      </x:c>
      <x:c t="inlineStr" r="M187">
        <x:is>
          <x:t>Negativo</x:t>
        </x:is>
      </x:c>
      <x:c t="inlineStr" r="N187">
        <x:is>
          <x:t>Posto Vaccari</x:t>
        </x:is>
      </x:c>
      <x:c t="inlineStr" r="O187"/>
      <x:c r="P187">
        <x:f>HYPERLINK("https://www.facebook.com/111832979481294")</x:f>
      </x:c>
      <x:c t="n" r="Q187">
        <x:v>4694</x:v>
      </x:c>
      <x:c t="inlineStr" r="R187">
        <x:is>
          <x:t>Comunidade</x:t>
        </x:is>
      </x:c>
      <x:c t="inlineStr" r="S187"/>
      <x:c t="inlineStr" r="T187">
        <x:is>
          <x:t>facebook.com</x:t>
        </x:is>
      </x:c>
      <x:c t="inlineStr" r="U187">
        <x:is>
          <x:t>Posto Vaccari</x:t>
        </x:is>
      </x:c>
      <x:c r="V187">
        <x:f>HYPERLINK("https://www.facebook.com/111832979481294")</x:f>
      </x:c>
      <x:c t="n" r="W187">
        <x:v>4694</x:v>
      </x:c>
      <x:c t="inlineStr" r="X187"/>
      <x:c t="inlineStr" r="Y187">
        <x:is>
          <x:t>Rede social</x:t>
        </x:is>
      </x:c>
      <x:c t="inlineStr" r="Z187">
        <x:is>
          <x:t>Português</x:t>
        </x:is>
      </x:c>
      <x:c t="inlineStr" r="AA187">
        <x:is>
          <x:t>Brasil</x:t>
        </x:is>
      </x:c>
      <x:c t="inlineStr" r="AB187">
        <x:is>
          <x:t>Rio Grande do Sul</x:t>
        </x:is>
      </x:c>
      <x:c t="inlineStr" r="AC187">
        <x:is>
          <x:t>Tucunduva</x:t>
        </x:is>
      </x:c>
      <x:c t="inlineStr" r="AD187"/>
      <x:c t="n" r="AE187">
        <x:v>1</x:v>
      </x:c>
      <x:c t="n" r="AF187">
        <x:v>1</x:v>
      </x:c>
      <x:c t="n" r="AG187">
        <x:v>1</x:v>
      </x:c>
      <x:c t="inlineStr" r="AH187"/>
      <x:c t="inlineStr" r="AI187"/>
      <x:c t="inlineStr" r="AJ187"/>
      <x:c t="inlineStr" r="AK187"/>
      <x:c t="inlineStr" r="AL187"/>
      <x:c t="inlineStr" r="AM187"/>
      <x:c t="inlineStr" r="AN187"/>
      <x:c t="n" r="AO187">
        <x:v>0</x:v>
      </x:c>
      <x:c t="inlineStr" r="AP187"/>
      <x:c t="n" r="AQ187">
        <x:v>47</x:v>
      </x:c>
      <x:c t="inlineStr" r="AR187"/>
      <x:c t="inlineStr" r="AS187"/>
      <x:c t="inlineStr" r="AT187"/>
      <x:c t="n" r="AU187">
        <x:v>4694</x:v>
      </x:c>
      <x:c t="inlineStr" r="AV187"/>
      <x:c t="inlineStr" r="AW187">
        <x:is>
          <x:t>Ipimax</x:t>
        </x:is>
      </x:c>
      <x:c t="inlineStr" r="AX187">
        <x:is>
          <x:t>text,signage,emblem</x:t>
        </x:is>
      </x:c>
      <x:c t="inlineStr" r="AY187">
        <x:is>
          <x:t>outdoor</x:t>
        </x:is>
      </x:c>
      <x:c t="inlineStr" r="AZ187">
        <x:is>
          <x:t/>
        </x:is>
      </x:c>
      <x:c t="inlineStr" r="BA187">
        <x:is>
          <x:t/>
        </x:is>
      </x:c>
      <x:c t="inlineStr" r="BB187">
        <x:is>
          <x:t>PHOTO</x:t>
        </x:is>
      </x:c>
      <x:c t="inlineStr" r="BC187"/>
      <x:c t="inlineStr" r="BD187">
        <x:is>
          <x:t>https://scontent.fmba5-2.fna.fbcdn.net/v/t51.82787-10/775469852_18144168394548576_9191170309379663942_n.jpg?stp=dst-jpg_tt6&amp;cstp=mx1206x2144&amp;ctp=p565x565&amp;_nc_cat=100&amp;ccb=1-7&amp;_nc_sid=5fad0e&amp;_nc_ohc=IAPoO95YBJ0Q7kNvwF2yx01&amp;_nc_oc=AdrrNQrgMn4aC_LHyk9Ga_EtZGc-XCpdmIQHFy6PxrP4X1HzkAqlgqJj4FuxWDwZENI&amp;_nc_zt=23&amp;_nc_ht=scontent.fmba5-2.fna&amp;_nc_gid=48lcrrdDip_dpq8EflWXNA&amp;_nc_ss=70100&amp;oh=00_AQGD0clJ-taYhB23_5QO8Vq-Hdmf9vtkY_t-yEXLPBSCeQ&amp;oe=6A86461D</x:t>
        </x:is>
      </x:c>
      <x:c t="inlineStr" r="BE187">
        <x:is>
          <x:t/>
        </x:is>
      </x:c>
      <x:c t="inlineStr" r="BF187">
        <x:is>
          <x:t>Não</x:t>
        </x:is>
      </x:c>
      <x:c t="inlineStr" r="BG187"/>
      <x:c t="inlineStr" r="BH187">
        <x:is>
          <x:t/>
        </x:is>
      </x:c>
      <x:c t="inlineStr" r="BI187">
        <x:is>
          <x:t>Giveaway</x:t>
        </x:is>
      </x:c>
      <x:c t="inlineStr" r="BJ187"/>
      <x:c t="inlineStr" r="BK187">
        <x:is>
          <x:t>Franquia - Jet Oil,Franquia - AmPm,Ipimax,Campanha: Parada Completa,Ipiranga,App KMV,Rock In Rio</x:t>
        </x:is>
      </x:c>
      <x:c t="inlineStr" r="BL187"/>
      <x:c t="inlineStr" r="BM187"/>
      <x:c t="inlineStr" r="BN187"/>
      <x:c t="inlineStr" r="BO187"/>
      <x:c t="inlineStr" r="BP187"/>
      <x:c t="inlineStr" r="BQ187"/>
      <x:c t="inlineStr" r="BR187"/>
      <x:c t="inlineStr" r="BS187"/>
      <x:c t="inlineStr" r="BT187"/>
      <x:c t="inlineStr" r="BU187"/>
      <x:c t="inlineStr" r="BV187">
        <x:is>
          <x:t>Franquia - AmPm</x:t>
        </x:is>
      </x:c>
      <x:c t="inlineStr" r="BW187">
        <x:is>
          <x:t>Ipimax</x:t>
        </x:is>
      </x:c>
      <x:c t="inlineStr" r="BX187">
        <x:is>
          <x:t>Franquia - Jet Oil</x:t>
        </x:is>
      </x:c>
      <x:c t="inlineStr" r="BY187">
        <x:is>
          <x:t>Campanha: Parada Completa</x:t>
        </x:is>
      </x:c>
      <x:c t="inlineStr" r="BZ187">
        <x:is>
          <x:t>Ipiranga</x:t>
        </x:is>
      </x:c>
      <x:c t="inlineStr" r="CA187"/>
      <x:c t="inlineStr" r="CB187"/>
      <x:c t="inlineStr" r="CC187"/>
      <x:c t="inlineStr" r="CD187">
        <x:is>
          <x:t>App KMV</x:t>
        </x:is>
      </x:c>
      <x:c t="inlineStr" r="CE187">
        <x:is>
          <x:t>Rock In Rio</x:t>
        </x:is>
      </x:c>
      <x:c t="inlineStr" r="CF187"/>
    </x:row>
    <x:row r="188">
      <x:c t="n" r="A188">
        <x:v>2265967110</x:v>
      </x:c>
      <x:c t="inlineStr" r="B188">
        <x:is>
          <x:t>14.08.2026</x:t>
        </x:is>
      </x:c>
      <x:c t="inlineStr" r="C188">
        <x:is>
          <x:t>15:21</x:t>
        </x:is>
      </x:c>
      <x:c t="inlineStr" r="D188">
        <x:is>
          <x:t>14.08.2026 16:59</x:t>
        </x:is>
      </x:c>
      <x:c t="inlineStr" r="E188">
        <x:is>
          <x:t/>
        </x:is>
      </x:c>
      <x:c t="str" r="F188">
        <x:v>Última chance de participar da Promoção Parada Completa IPIRANGA 🔥🚙
Abasteça com Ipimax, pague pelo app KMV e garanta +10 números da sorte.
Você também ganha +2 números da sorte em compras a partir de R$ 10 na AmPm ou no Jet Oil.
São mais de R$ 1 milhão em prêmios, incluindo uma Mitsubishi Nova Triton, uma moto 0 km, viagens, combustível e mais de 600 ingressos para o Rock in Rio Brasil 2026. Participe já!
#santarosars #postoipiranga #postovaccari</x:v>
      </x:c>
      <x:c t="inlineStr" r="G188">
        <x:is>
          <x:t/>
        </x:is>
      </x:c>
      <x:c t="inlineStr" r="H188"/>
      <x:c t="inlineStr" r="I188">
        <x:is>
          <x:t>Postar</x:t>
        </x:is>
      </x:c>
      <x:c t="inlineStr" r="J188">
        <x:is>
          <x:t>Texto,Vídeo</x:t>
        </x:is>
      </x:c>
      <x:c t="inlineStr" r="K188">
        <x:is>
          <x:t>InstagramReels</x:t>
        </x:is>
      </x:c>
      <x:c r="L188">
        <x:f>HYPERLINK("https://www.instagram.com/reel/DcB8MzTgALM/")</x:f>
      </x:c>
      <x:c t="inlineStr" r="M188">
        <x:is>
          <x:t>Negativo</x:t>
        </x:is>
      </x:c>
      <x:c t="inlineStr" r="N188">
        <x:is>
          <x:t>Posto Vaccari</x:t>
        </x:is>
      </x:c>
      <x:c t="inlineStr" r="O188">
        <x:is>
          <x:t>postovaccari</x:t>
        </x:is>
      </x:c>
      <x:c r="P188">
        <x:f>HYPERLINK("https://www.instagram.com/postovaccari/")</x:f>
      </x:c>
      <x:c t="n" r="Q188">
        <x:v>7280</x:v>
      </x:c>
      <x:c t="inlineStr" r="R188"/>
      <x:c t="inlineStr" r="S188"/>
      <x:c t="inlineStr" r="T188">
        <x:is>
          <x:t>instagram.com</x:t>
        </x:is>
      </x:c>
      <x:c t="inlineStr" r="U188">
        <x:is>
          <x:t>Posto Vaccari</x:t>
        </x:is>
      </x:c>
      <x:c r="V188">
        <x:f>HYPERLINK("https://www.instagram.com/postovaccari/")</x:f>
      </x:c>
      <x:c t="n" r="W188">
        <x:v>7280</x:v>
      </x:c>
      <x:c t="inlineStr" r="X188"/>
      <x:c t="inlineStr" r="Y188">
        <x:is>
          <x:t>Rede social</x:t>
        </x:is>
      </x:c>
      <x:c t="inlineStr" r="Z188">
        <x:is>
          <x:t>Português</x:t>
        </x:is>
      </x:c>
      <x:c t="inlineStr" r="AA188"/>
      <x:c t="inlineStr" r="AB188"/>
      <x:c t="inlineStr" r="AC188"/>
      <x:c t="inlineStr" r="AD188"/>
      <x:c t="n" r="AE188">
        <x:v>2</x:v>
      </x:c>
      <x:c t="n" r="AF188">
        <x:v>2</x:v>
      </x:c>
      <x:c t="n" r="AG188">
        <x:v>2</x:v>
      </x:c>
      <x:c t="inlineStr" r="AH188"/>
      <x:c t="inlineStr" r="AI188"/>
      <x:c t="inlineStr" r="AJ188"/>
      <x:c t="inlineStr" r="AK188"/>
      <x:c t="inlineStr" r="AL188"/>
      <x:c t="inlineStr" r="AM188"/>
      <x:c t="inlineStr" r="AN188"/>
      <x:c t="n" r="AO188">
        <x:v>0</x:v>
      </x:c>
      <x:c t="inlineStr" r="AP188"/>
      <x:c t="inlineStr" r="AQ188"/>
      <x:c t="inlineStr" r="AR188"/>
      <x:c t="inlineStr" r="AS188"/>
      <x:c t="inlineStr" r="AT188"/>
      <x:c t="n" r="AU188">
        <x:v>7280</x:v>
      </x:c>
      <x:c t="inlineStr" r="AV188"/>
      <x:c t="inlineStr" r="AW188">
        <x:is>
          <x:t>Ipimax</x:t>
        </x:is>
      </x:c>
      <x:c t="inlineStr" r="AX188">
        <x:is>
          <x:t>text,signage,emblem</x:t>
        </x:is>
      </x:c>
      <x:c t="inlineStr" r="AY188">
        <x:is>
          <x:t>outdoor</x:t>
        </x:is>
      </x:c>
      <x:c t="inlineStr" r="AZ188">
        <x:is>
          <x:t/>
        </x:is>
      </x:c>
      <x:c t="inlineStr" r="BA188">
        <x:is>
          <x:t/>
        </x:is>
      </x:c>
      <x:c t="inlineStr" r="BB188">
        <x:is>
          <x:t>PHOTO</x:t>
        </x:is>
      </x:c>
      <x:c t="inlineStr" r="BC188"/>
      <x:c t="inlineStr" r="BD188">
        <x:is>
          <x:t>https://scontent-ams2-1.cdninstagram.com/v/t51.82787-15/775469852_18144168394548576_9191170309379663942_n.jpg?stp=dst-jpg_e35_tt6&amp;_nc_cat=100&amp;ccb=7-5&amp;_nc_sid=18de74&amp;efg=eyJlZmdfdGFnIjoiQ0xJUFMuYmVzdF9pbWFnZV91cmxnZW4uQzMifQ%3D%3D&amp;_nc_ohc=IAPoO95YBJ0Q7kNvwFUwNpX&amp;_nc_oc=AdrLC_OyRxSfcVff9fqzTCWzxglmUm009T2dYQjVZP68OKZAnMaUhIpc2zvsldcZx6M&amp;_nc_zt=23&amp;_nc_ht=scontent-ams2-1.cdninstagram.com&amp;edm=AJ7ooaQEAAAA&amp;_nc_gid=uJuGlJz90a3-VCMCL8zRxA&amp;_nc_tpa=Q5bMBQLjMeQxG8-LjgmrWOM_IIzMkAAiA1NBQ2Kz9ME9zG0ZPTOFEH004VqA7N2WiV4HcR1QQnzyBXd0Pg&amp;oh=00_AQFgxRgrqzAeD3Oij---W7rLM0_nTMwTQYajmq7rKVT26Q&amp;oe=6A85450D</x:t>
        </x:is>
      </x:c>
      <x:c t="inlineStr" r="BE188">
        <x:is>
          <x:t/>
        </x:is>
      </x:c>
      <x:c t="inlineStr" r="BF188">
        <x:is>
          <x:t>Não</x:t>
        </x:is>
      </x:c>
      <x:c t="inlineStr" r="BG188"/>
      <x:c t="inlineStr" r="BH188">
        <x:is>
          <x:t/>
        </x:is>
      </x:c>
      <x:c t="inlineStr" r="BI188">
        <x:is>
          <x:t>Giveaway</x:t>
        </x:is>
      </x:c>
      <x:c t="inlineStr" r="BJ188"/>
      <x:c t="inlineStr" r="BK188">
        <x:is>
          <x:t>Franquia - Jet Oil,Franquia - AmPm,Ipimax,Campanha: Parada Completa,Ipiranga,App KMV,Rock In Rio</x:t>
        </x:is>
      </x:c>
      <x:c t="inlineStr" r="BL188"/>
      <x:c t="inlineStr" r="BM188"/>
      <x:c t="inlineStr" r="BN188"/>
      <x:c t="inlineStr" r="BO188"/>
      <x:c t="inlineStr" r="BP188"/>
      <x:c t="inlineStr" r="BQ188"/>
      <x:c t="inlineStr" r="BR188"/>
      <x:c t="inlineStr" r="BS188"/>
      <x:c t="inlineStr" r="BT188"/>
      <x:c t="inlineStr" r="BU188"/>
      <x:c t="inlineStr" r="BV188">
        <x:is>
          <x:t>Franquia - AmPm</x:t>
        </x:is>
      </x:c>
      <x:c t="inlineStr" r="BW188">
        <x:is>
          <x:t>Ipimax</x:t>
        </x:is>
      </x:c>
      <x:c t="inlineStr" r="BX188">
        <x:is>
          <x:t>Franquia - Jet Oil</x:t>
        </x:is>
      </x:c>
      <x:c t="inlineStr" r="BY188">
        <x:is>
          <x:t>Campanha: Parada Completa</x:t>
        </x:is>
      </x:c>
      <x:c t="inlineStr" r="BZ188">
        <x:is>
          <x:t>Ipiranga</x:t>
        </x:is>
      </x:c>
      <x:c t="inlineStr" r="CA188"/>
      <x:c t="inlineStr" r="CB188"/>
      <x:c t="inlineStr" r="CC188"/>
      <x:c t="inlineStr" r="CD188">
        <x:is>
          <x:t>App KMV</x:t>
        </x:is>
      </x:c>
      <x:c t="inlineStr" r="CE188">
        <x:is>
          <x:t>Rock In Rio</x:t>
        </x:is>
      </x:c>
      <x:c t="inlineStr" r="CF188"/>
    </x:row>
    <x:row r="189">
      <x:c t="n" r="A189">
        <x:v>2220346020</x:v>
      </x:c>
      <x:c t="inlineStr" r="B189">
        <x:is>
          <x:t>14.08.2026</x:t>
        </x:is>
      </x:c>
      <x:c t="inlineStr" r="C189">
        <x:is>
          <x:t>07:01</x:t>
        </x:is>
      </x:c>
      <x:c t="inlineStr" r="D189">
        <x:is>
          <x:t>14.08.2026 08:34</x:t>
        </x:is>
      </x:c>
      <x:c t="inlineStr" r="E189">
        <x:is>
          <x:t/>
        </x:is>
      </x:c>
      <x:c t="str" r="F189">
        <x:v>Que tal transformar seus pontos em uma experiência inesquecível?
Abasteça nos Postos Ipiranga, acumule pontos no app KMV e use seus pontos + dinheiro para resgatar ingressos de gramado para o Rock in Rio 2026.
Uma parada no Posto Pascoal pode te deixar cada vez mais perto de viver um dos maiores festivais de música do mundo.
*Os ingressos são oficiais e limitados. Consulte o regulamento.*
#ParadaCompleta #CompletaPraMim #PostoIpiranga #RockinRio2026</x:v>
      </x:c>
      <x:c t="inlineStr" r="G189">
        <x:is>
          <x:t/>
        </x:is>
      </x:c>
      <x:c t="inlineStr" r="H189"/>
      <x:c t="inlineStr" r="I189">
        <x:is>
          <x:t>Postar</x:t>
        </x:is>
      </x:c>
      <x:c t="inlineStr" r="J189">
        <x:is>
          <x:t>Texto,Vídeo</x:t>
        </x:is>
      </x:c>
      <x:c t="inlineStr" r="K189">
        <x:is>
          <x:t>InstagramReels</x:t>
        </x:is>
      </x:c>
      <x:c r="L189">
        <x:f>HYPERLINK("https://www.instagram.com/p/DcBDLRBDD7e/")</x:f>
      </x:c>
      <x:c t="inlineStr" r="M189">
        <x:is>
          <x:t>Negativo</x:t>
        </x:is>
      </x:c>
      <x:c t="inlineStr" r="N189">
        <x:is>
          <x:t>Posto Pascoal</x:t>
        </x:is>
      </x:c>
      <x:c t="inlineStr" r="O189">
        <x:is>
          <x:t>posto_pascoal</x:t>
        </x:is>
      </x:c>
      <x:c r="P189">
        <x:f>HYPERLINK("http://instagram.com/posto_pascoal")</x:f>
      </x:c>
      <x:c t="n" r="Q189">
        <x:v>2564</x:v>
      </x:c>
      <x:c t="inlineStr" r="R189"/>
      <x:c t="inlineStr" r="S189"/>
      <x:c t="inlineStr" r="T189">
        <x:is>
          <x:t>instagram.com</x:t>
        </x:is>
      </x:c>
      <x:c t="inlineStr" r="U189">
        <x:is>
          <x:t>Posto Pascoal</x:t>
        </x:is>
      </x:c>
      <x:c r="V189">
        <x:f>HYPERLINK("http://instagram.com/posto_pascoal")</x:f>
      </x:c>
      <x:c t="n" r="W189">
        <x:v>2564</x:v>
      </x:c>
      <x:c t="inlineStr" r="X189"/>
      <x:c t="inlineStr" r="Y189">
        <x:is>
          <x:t>Rede social</x:t>
        </x:is>
      </x:c>
      <x:c t="inlineStr" r="Z189">
        <x:is>
          <x:t>Português</x:t>
        </x:is>
      </x:c>
      <x:c t="inlineStr" r="AA189"/>
      <x:c t="inlineStr" r="AB189"/>
      <x:c t="inlineStr" r="AC189"/>
      <x:c t="inlineStr" r="AD189"/>
      <x:c t="n" r="AE189">
        <x:v>3</x:v>
      </x:c>
      <x:c t="n" r="AF189">
        <x:v>3</x:v>
      </x:c>
      <x:c t="n" r="AG189">
        <x:v>3</x:v>
      </x:c>
      <x:c t="inlineStr" r="AH189"/>
      <x:c t="inlineStr" r="AI189"/>
      <x:c t="inlineStr" r="AJ189"/>
      <x:c t="inlineStr" r="AK189"/>
      <x:c t="inlineStr" r="AL189"/>
      <x:c t="inlineStr" r="AM189"/>
      <x:c t="inlineStr" r="AN189"/>
      <x:c t="n" r="AO189">
        <x:v>0</x:v>
      </x:c>
      <x:c t="inlineStr" r="AP189"/>
      <x:c t="n" r="AQ189">
        <x:v>68</x:v>
      </x:c>
      <x:c t="inlineStr" r="AR189"/>
      <x:c t="inlineStr" r="AS189"/>
      <x:c t="inlineStr" r="AT189"/>
      <x:c t="n" r="AU189">
        <x:v>2564</x:v>
      </x:c>
      <x:c t="inlineStr" r="AV189"/>
      <x:c t="inlineStr" r="AW189">
        <x:is>
          <x:t/>
        </x:is>
      </x:c>
      <x:c t="inlineStr" r="AX189">
        <x:is>
          <x:t>finger,clothing,skin,tooth,text,long hair,wrist,brown hair,shirt</x:t>
        </x:is>
      </x:c>
      <x:c t="inlineStr" r="AY189">
        <x:is>
          <x:t/>
        </x:is>
      </x:c>
      <x:c t="inlineStr" r="AZ189">
        <x:is>
          <x:t>woman,youth</x:t>
        </x:is>
      </x:c>
      <x:c t="inlineStr" r="BA189">
        <x:is>
          <x:t>smile,standing</x:t>
        </x:is>
      </x:c>
      <x:c t="inlineStr" r="BB189">
        <x:is>
          <x:t>PHOTO</x:t>
        </x:is>
      </x:c>
      <x:c t="inlineStr" r="BC189">
        <x:is>
          <x:t>portrait</x:t>
        </x:is>
      </x:c>
      <x:c t="inlineStr" r="BD189">
        <x:is>
          <x:t>https://instagram.fiev22-1.fna.fbcdn.net/v/t51.82787-15/774797090_18336913516254483_2228905353711429018_n.jpg?stp=dst-jpg_e15_tt6&amp;_nc_cat=105&amp;ig_cache_key=Mzk2MzQ2MzExNTM4NzcxNTI5NDE4MzM2OTEzNTEzMjU0NDgz.3-ccb7-5&amp;ccb=7-5&amp;_nc_sid=58cdad&amp;efg=eyJ2ZW5jb2RlX3RhZyI6IkNMSVBTLnhwaWRzLjEwODAuc2RyLnZpZGVvX2RlZmF1bHRfY292ZXJfZnJhbWUuQzMifQ%3D%3D&amp;_nc_ohc=opmT76fYgWQQ7kNvwEyt0jG&amp;_nc_oc=AdoFoKhGJQNdSG8vtNEtoVBj7wvlExmHWG_T0b0eC5JTqHymivNiQ6l-oS1hVnlCeLQ&amp;_nc_ad=z-m&amp;_nc_cid=1489&amp;_nc_zt=23&amp;_nc_ht=instagram.fiev22-1.fna&amp;_nc_gid=JO4zPDlD0ws7XZSOoyokSA&amp;_nc_ss=7a22e&amp;oh=00_AQEr6tIA2BUgBbAy_iYjZSwCjhMYqzMME_RnJ_ILpp2dbw&amp;oe=6A84C2D6</x:t>
        </x:is>
      </x:c>
      <x:c t="inlineStr" r="BE189">
        <x:is>
          <x:t/>
        </x:is>
      </x:c>
      <x:c t="inlineStr" r="BF189">
        <x:is>
          <x:t>Não</x:t>
        </x:is>
      </x:c>
      <x:c t="inlineStr" r="BG189"/>
      <x:c t="inlineStr" r="BH189">
        <x:is>
          <x:t/>
        </x:is>
      </x:c>
      <x:c t="inlineStr" r="BI189">
        <x:is>
          <x:t>Promoção</x:t>
        </x:is>
      </x:c>
      <x:c t="inlineStr" r="BJ189"/>
      <x:c t="inlineStr" r="BK189">
        <x:is>
          <x:t>Ipiranga,App KMV,Rock In Rio</x:t>
        </x:is>
      </x:c>
      <x:c t="inlineStr" r="BL189"/>
      <x:c t="inlineStr" r="BM189"/>
      <x:c t="inlineStr" r="BN189"/>
      <x:c t="inlineStr" r="BO189"/>
      <x:c t="inlineStr" r="BP189"/>
      <x:c t="inlineStr" r="BQ189"/>
      <x:c t="inlineStr" r="BR189"/>
      <x:c t="inlineStr" r="BS189"/>
      <x:c t="inlineStr" r="BT189"/>
      <x:c t="inlineStr" r="BU189"/>
      <x:c t="inlineStr" r="BV189"/>
      <x:c t="inlineStr" r="BW189"/>
      <x:c t="inlineStr" r="BX189"/>
      <x:c t="inlineStr" r="BY189"/>
      <x:c t="inlineStr" r="BZ189">
        <x:is>
          <x:t>Ipiranga</x:t>
        </x:is>
      </x:c>
      <x:c t="inlineStr" r="CA189"/>
      <x:c t="inlineStr" r="CB189"/>
      <x:c t="inlineStr" r="CC189"/>
      <x:c t="inlineStr" r="CD189">
        <x:is>
          <x:t>App KMV</x:t>
        </x:is>
      </x:c>
      <x:c t="inlineStr" r="CE189">
        <x:is>
          <x:t>Rock In Rio</x:t>
        </x:is>
      </x:c>
      <x:c t="inlineStr" r="CF189"/>
    </x:row>
    <x:row r="190">
      <x:c t="n" r="A190">
        <x:v>2859122412</x:v>
      </x:c>
      <x:c t="inlineStr" r="B190">
        <x:is>
          <x:t>13.08.2026</x:t>
        </x:is>
      </x:c>
      <x:c t="inlineStr" r="C190">
        <x:is>
          <x:t>16:20</x:t>
        </x:is>
      </x:c>
      <x:c t="inlineStr" r="D190">
        <x:is>
          <x:t>19.08.2026 18:30</x:t>
        </x:is>
      </x:c>
      <x:c t="inlineStr" r="E190">
        <x:is>
          <x:t/>
        </x:is>
      </x:c>
      <x:c t="str" r="F190">
        <x:v>🚨 🚨 🚨 Última chance de participar da Promoção Parada Completa! 🏁 Abasteça com Ipimax na Rede de Postos 3 Irmãos, pague pelo app KMV e garanta +10 números da sorte. ​​
Você também ganha +2 números da sorte em compras a partir de R$ 10 na AmPm ou no Jet Oil. ​​
São mais de R$ 1 milhão em prêmios, incluindo uma Mitsubishi Nova Triton, uma moto 0 km, viagens, combustível e mais de 600 ingressos para o Rock in Rio Brasil 2026. Participe já!​​
#PromoçãoIpiranga #ParadaCompleta​​
#Ipiranga #Promoção #redepostos3irmãos</x:v>
      </x:c>
      <x:c t="inlineStr" r="G190">
        <x:is>
          <x:t/>
        </x:is>
      </x:c>
      <x:c t="inlineStr" r="H190"/>
      <x:c t="inlineStr" r="I190">
        <x:is>
          <x:t>Postar</x:t>
        </x:is>
      </x:c>
      <x:c t="inlineStr" r="J190">
        <x:is>
          <x:t>Texto,Vídeo</x:t>
        </x:is>
      </x:c>
      <x:c t="inlineStr" r="K190"/>
      <x:c r="L190">
        <x:f>HYPERLINK("https://www.instagram.com/p/Db_eSQ4P-ze/")</x:f>
      </x:c>
      <x:c t="inlineStr" r="M190">
        <x:is>
          <x:t>Negativo</x:t>
        </x:is>
      </x:c>
      <x:c t="inlineStr" r="N190">
        <x:is>
          <x:t>Rede Postos 3 Irmãos</x:t>
        </x:is>
      </x:c>
      <x:c t="inlineStr" r="O190">
        <x:is>
          <x:t>redepostos3irmaos</x:t>
        </x:is>
      </x:c>
      <x:c r="P190">
        <x:f>HYPERLINK("http://instagram.com/redepostos3irmaos")</x:f>
      </x:c>
      <x:c t="n" r="Q190">
        <x:v>294</x:v>
      </x:c>
      <x:c t="inlineStr" r="R190"/>
      <x:c t="inlineStr" r="S190"/>
      <x:c t="inlineStr" r="T190">
        <x:is>
          <x:t>instagram.com</x:t>
        </x:is>
      </x:c>
      <x:c t="inlineStr" r="U190">
        <x:is>
          <x:t>Rede Postos 3 Irmãos</x:t>
        </x:is>
      </x:c>
      <x:c r="V190">
        <x:f>HYPERLINK("http://instagram.com/redepostos3irmaos")</x:f>
      </x:c>
      <x:c t="n" r="W190">
        <x:v>294</x:v>
      </x:c>
      <x:c t="inlineStr" r="X190"/>
      <x:c t="inlineStr" r="Y190">
        <x:is>
          <x:t>Rede social</x:t>
        </x:is>
      </x:c>
      <x:c t="inlineStr" r="Z190">
        <x:is>
          <x:t>Português</x:t>
        </x:is>
      </x:c>
      <x:c t="inlineStr" r="AA190"/>
      <x:c t="inlineStr" r="AB190"/>
      <x:c t="inlineStr" r="AC190"/>
      <x:c t="inlineStr" r="AD190"/>
      <x:c t="n" r="AE190">
        <x:v>4</x:v>
      </x:c>
      <x:c t="n" r="AF190">
        <x:v>4</x:v>
      </x:c>
      <x:c t="n" r="AG190">
        <x:v>4</x:v>
      </x:c>
      <x:c t="inlineStr" r="AH190"/>
      <x:c t="inlineStr" r="AI190"/>
      <x:c t="inlineStr" r="AJ190"/>
      <x:c t="inlineStr" r="AK190"/>
      <x:c t="inlineStr" r="AL190"/>
      <x:c t="inlineStr" r="AM190"/>
      <x:c t="inlineStr" r="AN190"/>
      <x:c t="n" r="AO190">
        <x:v>0</x:v>
      </x:c>
      <x:c t="inlineStr" r="AP190"/>
      <x:c t="inlineStr" r="AQ190"/>
      <x:c t="inlineStr" r="AR190"/>
      <x:c t="inlineStr" r="AS190"/>
      <x:c t="inlineStr" r="AT190"/>
      <x:c t="n" r="AU190">
        <x:v>294</x:v>
      </x:c>
      <x:c t="inlineStr" r="AV190"/>
      <x:c t="inlineStr" r="AW190">
        <x:is>
          <x:t/>
        </x:is>
      </x:c>
      <x:c t="inlineStr" r="AX190">
        <x:is>
          <x:t>text</x:t>
        </x:is>
      </x:c>
      <x:c t="inlineStr" r="AY190">
        <x:is>
          <x:t/>
        </x:is>
      </x:c>
      <x:c t="inlineStr" r="AZ190">
        <x:is>
          <x:t/>
        </x:is>
      </x:c>
      <x:c t="inlineStr" r="BA190">
        <x:is>
          <x:t/>
        </x:is>
      </x:c>
      <x:c t="inlineStr" r="BB190">
        <x:is>
          <x:t>ILLUSTRATION</x:t>
        </x:is>
      </x:c>
      <x:c t="inlineStr" r="BC190">
        <x:is>
          <x:t>graphics</x:t>
        </x:is>
      </x:c>
      <x:c t="inlineStr" r="BD190">
        <x:is>
          <x:t>https://scontent-iad6-1.cdninstagram.com/v/t51.71878-15/773359777_2074621873448218_9059634270840698549_n.jpg?stp=dst-jpg_e15_tt6&amp;_nc_cat=107&amp;ig_cache_key=Mzk2MzAxOTM5MzU3ODgyMjg3OA%3D%3D.3-ccb7-5&amp;ccb=7-5&amp;_nc_sid=58cdad&amp;efg=eyJ2ZW5jb2RlX3RhZyI6IkNMSVBTLnhwaWRzLjY0MC5zZHIudmlkZW9fZGVmYXVsdF9jb3Zlcl9mcmFtZS5DMyJ9&amp;_nc_ohc=w1xgUZgXW00Q7kNvwHYD2BG&amp;_nc_oc=AdrpzrMOv3kEPyS6i1MOw6z_y1csQTEFH0-jtCXULB_ZUsPwil0gqv-UV2U4cViBe8E_r1Ewv1DMIoJodUkjZumo&amp;_nc_zt=23&amp;_nc_ht=scontent-iad6-1.cdninstagram.com&amp;_nc_gid=94ulUWKqUuUK1837uGv69A&amp;_nc_ss=70689&amp;oh=00_AQH0OKa89WnEMmvusBBmf1zvn7bZnzYqs4MchwOk_zVgSA&amp;oe=6A8BE50C</x:t>
        </x:is>
      </x:c>
      <x:c t="inlineStr" r="BE190">
        <x:is>
          <x:t/>
        </x:is>
      </x:c>
      <x:c t="inlineStr" r="BF190">
        <x:is>
          <x:t>Não</x:t>
        </x:is>
      </x:c>
      <x:c t="inlineStr" r="BG190"/>
      <x:c t="inlineStr" r="BH190">
        <x:is>
          <x:t>Autos</x:t>
        </x:is>
      </x:c>
      <x:c t="inlineStr" r="BI190">
        <x:is>
          <x:t>Giveaway</x:t>
        </x:is>
      </x:c>
      <x:c t="inlineStr" r="BJ190"/>
      <x:c t="inlineStr" r="BK190">
        <x:is>
          <x:t>Franquia - Jet Oil,Franquia - AmPm,Ipimax,Campanha: Parada Completa,Ipiranga,App KMV,Rock In Rio</x:t>
        </x:is>
      </x:c>
      <x:c t="inlineStr" r="BL190"/>
      <x:c t="inlineStr" r="BM190"/>
      <x:c t="inlineStr" r="BN190"/>
      <x:c t="inlineStr" r="BO190"/>
      <x:c t="inlineStr" r="BP190"/>
      <x:c t="inlineStr" r="BQ190"/>
      <x:c t="inlineStr" r="BR190"/>
      <x:c t="inlineStr" r="BS190"/>
      <x:c t="inlineStr" r="BT190"/>
      <x:c t="inlineStr" r="BU190"/>
      <x:c t="inlineStr" r="BV190">
        <x:is>
          <x:t>Franquia - AmPm</x:t>
        </x:is>
      </x:c>
      <x:c t="inlineStr" r="BW190">
        <x:is>
          <x:t>Ipimax</x:t>
        </x:is>
      </x:c>
      <x:c t="inlineStr" r="BX190">
        <x:is>
          <x:t>Franquia - Jet Oil</x:t>
        </x:is>
      </x:c>
      <x:c t="inlineStr" r="BY190">
        <x:is>
          <x:t>Campanha: Parada Completa</x:t>
        </x:is>
      </x:c>
      <x:c t="inlineStr" r="BZ190">
        <x:is>
          <x:t>Ipiranga</x:t>
        </x:is>
      </x:c>
      <x:c t="inlineStr" r="CA190"/>
      <x:c t="inlineStr" r="CB190"/>
      <x:c t="inlineStr" r="CC190"/>
      <x:c t="inlineStr" r="CD190">
        <x:is>
          <x:t>App KMV</x:t>
        </x:is>
      </x:c>
      <x:c t="inlineStr" r="CE190">
        <x:is>
          <x:t>Rock In Rio</x:t>
        </x:is>
      </x:c>
      <x:c t="inlineStr" r="CF190"/>
    </x:row>
    <x:row r="191">
      <x:c t="n" r="A191">
        <x:v>3262310453</x:v>
      </x:c>
      <x:c t="inlineStr" r="B191">
        <x:is>
          <x:t>12.08.2026</x:t>
        </x:is>
      </x:c>
      <x:c t="inlineStr" r="C191">
        <x:is>
          <x:t>18:51</x:t>
        </x:is>
      </x:c>
      <x:c t="inlineStr" r="D191">
        <x:is>
          <x:t>14.08.2026 12:02</x:t>
        </x:is>
      </x:c>
      <x:c t="inlineStr" r="E191">
        <x:is>
          <x:t/>
        </x:is>
      </x:c>
      <x:c t="str" r="F191">
        <x:v>O seu aplicativo KMV nunca valeu tantos prêmios como agora! 📲✨
A Promoção Ipiranga Parada Completa está com tudo aqui nos Postos Brasília. Olha só o que te espera ao fazer o pagamento do seu abastecimento ou consumo usando o seu app KMV:
✅ Concorra na hora a ingressos para o Rock in Rio Brasil 2026.
✅ Mais de R$ 350 mil em prêmios instantâneos (vales e tanques cheios).
✅ Números da sorte garantidos para o sorteio dos super prêmios finais!
Abasteceu, pagou no app, concorreu! Prepare o seu celular, venha fazer a sua parada completa com a gente e saia ganhando! 🏆🛣️
#PostosBrasilia #PromocaoParadaCompleta #Ipiranga #RockInRio #SorteioIpiranga</x:v>
      </x:c>
      <x:c t="inlineStr" r="G191">
        <x:is>
          <x:t/>
        </x:is>
      </x:c>
      <x:c t="inlineStr" r="H191"/>
      <x:c t="inlineStr" r="I191">
        <x:is>
          <x:t>Postar</x:t>
        </x:is>
      </x:c>
      <x:c t="inlineStr" r="J191">
        <x:is>
          <x:t>Texto,Imagem</x:t>
        </x:is>
      </x:c>
      <x:c t="inlineStr" r="K191"/>
      <x:c r="L191">
        <x:f>HYPERLINK("https://www.instagram.com/p/Db9K6M8my1n/")</x:f>
      </x:c>
      <x:c t="inlineStr" r="M191">
        <x:is>
          <x:t>Negativo</x:t>
        </x:is>
      </x:c>
      <x:c t="inlineStr" r="N191">
        <x:is>
          <x:t>Postos Brasília</x:t>
        </x:is>
      </x:c>
      <x:c t="inlineStr" r="O191">
        <x:is>
          <x:t>postosbrasilia</x:t>
        </x:is>
      </x:c>
      <x:c r="P191">
        <x:f>HYPERLINK("http://instagram.com/postosbrasilia")</x:f>
      </x:c>
      <x:c t="n" r="Q191">
        <x:v>1633</x:v>
      </x:c>
      <x:c t="inlineStr" r="R191"/>
      <x:c t="inlineStr" r="S191"/>
      <x:c t="inlineStr" r="T191">
        <x:is>
          <x:t>instagram.com</x:t>
        </x:is>
      </x:c>
      <x:c t="inlineStr" r="U191">
        <x:is>
          <x:t>Postos Brasília</x:t>
        </x:is>
      </x:c>
      <x:c r="V191">
        <x:f>HYPERLINK("http://instagram.com/postosbrasilia")</x:f>
      </x:c>
      <x:c t="n" r="W191">
        <x:v>1633</x:v>
      </x:c>
      <x:c t="inlineStr" r="X191"/>
      <x:c t="inlineStr" r="Y191">
        <x:is>
          <x:t>Rede social</x:t>
        </x:is>
      </x:c>
      <x:c t="inlineStr" r="Z191">
        <x:is>
          <x:t>Português</x:t>
        </x:is>
      </x:c>
      <x:c t="inlineStr" r="AA191"/>
      <x:c t="inlineStr" r="AB191"/>
      <x:c t="inlineStr" r="AC191"/>
      <x:c t="inlineStr" r="AD191"/>
      <x:c t="n" r="AE191">
        <x:v>5</x:v>
      </x:c>
      <x:c t="n" r="AF191">
        <x:v>5</x:v>
      </x:c>
      <x:c t="n" r="AG191">
        <x:v>5</x:v>
      </x:c>
      <x:c t="inlineStr" r="AH191"/>
      <x:c t="inlineStr" r="AI191"/>
      <x:c t="inlineStr" r="AJ191"/>
      <x:c t="inlineStr" r="AK191"/>
      <x:c t="inlineStr" r="AL191"/>
      <x:c t="inlineStr" r="AM191"/>
      <x:c t="inlineStr" r="AN191"/>
      <x:c t="n" r="AO191">
        <x:v>0</x:v>
      </x:c>
      <x:c t="inlineStr" r="AP191"/>
      <x:c t="inlineStr" r="AQ191"/>
      <x:c t="inlineStr" r="AR191"/>
      <x:c t="inlineStr" r="AS191"/>
      <x:c t="inlineStr" r="AT191"/>
      <x:c t="n" r="AU191">
        <x:v>1633</x:v>
      </x:c>
      <x:c t="inlineStr" r="AV191"/>
      <x:c t="inlineStr" r="AW191">
        <x:is>
          <x:t>Ipiranga</x:t>
        </x:is>
      </x:c>
      <x:c t="inlineStr" r="AX191">
        <x:is>
          <x:t>vehicle,text,building,car,wheel,signage</x:t>
        </x:is>
      </x:c>
      <x:c t="inlineStr" r="AY191">
        <x:is>
          <x:t>outdoor</x:t>
        </x:is>
      </x:c>
      <x:c t="inlineStr" r="AZ191">
        <x:is>
          <x:t>man</x:t>
        </x:is>
      </x:c>
      <x:c t="inlineStr" r="BA191">
        <x:is>
          <x:t/>
        </x:is>
      </x:c>
      <x:c t="inlineStr" r="BB191">
        <x:is>
          <x:t>ILLUSTRATION</x:t>
        </x:is>
      </x:c>
      <x:c t="inlineStr" r="BC191">
        <x:is>
          <x:t>advertising</x:t>
        </x:is>
      </x:c>
      <x:c t="inlineStr" r="BD191">
        <x:is>
          <x:t>https://scontent-ams2-1.cdninstagram.com/v/t39.30808-6/773136320_1676016171190515_6032794203752417107_n.jpg?stp=c0.45.1080.1350a_dst-jpg_e35_tt6&amp;_nc_cat=107&amp;ig_cache_key=Mzk2MjM3MTIyNzI1MjM3MDc5MQ%3D%3D.3-ccb7-5&amp;ccb=7-5&amp;_nc_sid=58cdad&amp;efg=eyJ2ZW5jb2RlX3RhZyI6IkZFRUQueHBpZHMuMTA4MC5zZHIucmVndWxhcl9waG90by5DMyJ9&amp;_nc_ohc=45ljdMxgq-0Q7kNvwG9oHOf&amp;_nc_oc=AdphY-ASEFA41ZuSJ3wpA-j5rfwPu81jUe5sT1-gzgkI8pHofr5OasBtITQJmuMb7VLP9-Ri6FmpLnRIPB8j09lJ&amp;_nc_zt=23&amp;_nc_ht=scontent-ams2-1.cdninstagram.com&amp;_nc_gid=dyNtWLi1eSMlzqO7OS9MZw&amp;_nc_ss=70689&amp;oh=00_AQGoP-8sLqG3UyGH_F-I5eQe2_sMMQoUZK5jlSZufhbW2w&amp;oe=6A84F872</x:t>
        </x:is>
      </x:c>
      <x:c t="inlineStr" r="BE191">
        <x:is>
          <x:t/>
        </x:is>
      </x:c>
      <x:c t="inlineStr" r="BF191">
        <x:is>
          <x:t>Não</x:t>
        </x:is>
      </x:c>
      <x:c t="inlineStr" r="BG191"/>
      <x:c t="inlineStr" r="BH191">
        <x:is>
          <x:t>Jogo</x:t>
        </x:is>
      </x:c>
      <x:c t="inlineStr" r="BI191">
        <x:is>
          <x:t>Giveaway</x:t>
        </x:is>
      </x:c>
      <x:c t="inlineStr" r="BJ191"/>
      <x:c t="inlineStr" r="BK191">
        <x:is>
          <x:t>Campanha: Parada Completa,Ipiranga,App KMV,Rock In Rio</x:t>
        </x:is>
      </x:c>
      <x:c t="inlineStr" r="BL191"/>
      <x:c t="inlineStr" r="BM191"/>
      <x:c t="inlineStr" r="BN191"/>
      <x:c t="inlineStr" r="BO191"/>
      <x:c t="inlineStr" r="BP191"/>
      <x:c t="inlineStr" r="BQ191"/>
      <x:c t="inlineStr" r="BR191"/>
      <x:c t="inlineStr" r="BS191"/>
      <x:c t="inlineStr" r="BT191"/>
      <x:c t="inlineStr" r="BU191"/>
      <x:c t="inlineStr" r="BV191"/>
      <x:c t="inlineStr" r="BW191"/>
      <x:c t="inlineStr" r="BX191"/>
      <x:c t="inlineStr" r="BY191">
        <x:is>
          <x:t>Campanha: Parada Completa</x:t>
        </x:is>
      </x:c>
      <x:c t="inlineStr" r="BZ191">
        <x:is>
          <x:t>Ipiranga</x:t>
        </x:is>
      </x:c>
      <x:c t="inlineStr" r="CA191"/>
      <x:c t="inlineStr" r="CB191"/>
      <x:c t="inlineStr" r="CC191"/>
      <x:c t="inlineStr" r="CD191">
        <x:is>
          <x:t>App KMV</x:t>
        </x:is>
      </x:c>
      <x:c t="inlineStr" r="CE191">
        <x:is>
          <x:t>Rock In Rio</x:t>
        </x:is>
      </x:c>
      <x:c t="inlineStr" r="CF191"/>
    </x:row>
    <x:row r="192">
      <x:c t="n" r="A192">
        <x:v>3649696589</x:v>
      </x:c>
      <x:c t="inlineStr" r="B192">
        <x:is>
          <x:t>12.08.2026</x:t>
        </x:is>
      </x:c>
      <x:c t="inlineStr" r="C192">
        <x:is>
          <x:t>18:51</x:t>
        </x:is>
      </x:c>
      <x:c t="inlineStr" r="D192">
        <x:is>
          <x:t>13.08.2026 18:49</x:t>
        </x:is>
      </x:c>
      <x:c t="inlineStr" r="E192">
        <x:is>
          <x:t/>
        </x:is>
      </x:c>
      <x:c t="str" r="F192">
        <x:v>O seu aplicativo KMV nunca valeu tantos prêmios como agora! 📲✨
A Promoção Ipiranga Parada Completa está com tudo aqui nos Postos Brasília. Olha só o que te espera ao fazer o pagamento do seu abastecimento ou consumo usando o seu app KMV:
✅ Concorra na hora a ingressos para o Rock in Rio Brasil 2026.
✅ Mais de R$ 350 mil em prêmios instantâneos (vales e tanques cheios).
✅ Números da sorte garantidos para o sorteio dos super prêmios finais!
Abasteceu, pagou no app, concorreu! Prepare o seu celular, venha fazer a sua parada completa com a gente e saia ganhando! 🏆🛣️
#PostosBrasilia #PromocaoParadaCompleta #Ipiranga #RockInRio #SorteioIpiranga</x:v>
      </x:c>
      <x:c t="inlineStr" r="G192">
        <x:is>
          <x:t/>
        </x:is>
      </x:c>
      <x:c t="inlineStr" r="H192"/>
      <x:c t="inlineStr" r="I192">
        <x:is>
          <x:t>Postar</x:t>
        </x:is>
      </x:c>
      <x:c t="inlineStr" r="J192">
        <x:is>
          <x:t>Texto,Imagem</x:t>
        </x:is>
      </x:c>
      <x:c t="inlineStr" r="K192"/>
      <x:c r="L192">
        <x:f>HYPERLINK("https://www.facebook.com/1676017457857053")</x:f>
      </x:c>
      <x:c t="inlineStr" r="M192">
        <x:is>
          <x:t>Negativo</x:t>
        </x:is>
      </x:c>
      <x:c t="inlineStr" r="N192">
        <x:is>
          <x:t>Postos Brasília</x:t>
        </x:is>
      </x:c>
      <x:c t="inlineStr" r="O192"/>
      <x:c r="P192">
        <x:f>HYPERLINK("https://www.facebook.com/208075785936039")</x:f>
      </x:c>
      <x:c t="n" r="Q192">
        <x:v>1949</x:v>
      </x:c>
      <x:c t="inlineStr" r="R192">
        <x:is>
          <x:t>Comunidade</x:t>
        </x:is>
      </x:c>
      <x:c t="inlineStr" r="S192"/>
      <x:c t="inlineStr" r="T192">
        <x:is>
          <x:t>facebook.com</x:t>
        </x:is>
      </x:c>
      <x:c t="inlineStr" r="U192">
        <x:is>
          <x:t>Postos Brasília</x:t>
        </x:is>
      </x:c>
      <x:c r="V192">
        <x:f>HYPERLINK("https://www.facebook.com/208075785936039")</x:f>
      </x:c>
      <x:c t="n" r="W192">
        <x:v>1949</x:v>
      </x:c>
      <x:c t="inlineStr" r="X192"/>
      <x:c t="inlineStr" r="Y192">
        <x:is>
          <x:t>Rede social</x:t>
        </x:is>
      </x:c>
      <x:c t="inlineStr" r="Z192">
        <x:is>
          <x:t>Português</x:t>
        </x:is>
      </x:c>
      <x:c t="inlineStr" r="AA192">
        <x:is>
          <x:t>Brasil</x:t>
        </x:is>
      </x:c>
      <x:c t="inlineStr" r="AB192"/>
      <x:c t="inlineStr" r="AC192"/>
      <x:c t="inlineStr" r="AD192"/>
      <x:c t="inlineStr" r="AE192"/>
      <x:c t="n" r="AF192">
        <x:v>0</x:v>
      </x:c>
      <x:c t="inlineStr" r="AG192"/>
      <x:c t="inlineStr" r="AH192"/>
      <x:c t="inlineStr" r="AI192"/>
      <x:c t="inlineStr" r="AJ192"/>
      <x:c t="inlineStr" r="AK192"/>
      <x:c t="inlineStr" r="AL192"/>
      <x:c t="inlineStr" r="AM192"/>
      <x:c t="inlineStr" r="AN192"/>
      <x:c t="n" r="AO192">
        <x:v>0</x:v>
      </x:c>
      <x:c t="inlineStr" r="AP192"/>
      <x:c t="inlineStr" r="AQ192"/>
      <x:c t="inlineStr" r="AR192"/>
      <x:c t="inlineStr" r="AS192"/>
      <x:c t="inlineStr" r="AT192"/>
      <x:c t="n" r="AU192">
        <x:v>1949</x:v>
      </x:c>
      <x:c t="inlineStr" r="AV192"/>
      <x:c t="inlineStr" r="AW192">
        <x:is>
          <x:t>Ipiranga</x:t>
        </x:is>
      </x:c>
      <x:c t="inlineStr" r="AX192">
        <x:is>
          <x:t>vehicle,text,building,car,wheel</x:t>
        </x:is>
      </x:c>
      <x:c t="inlineStr" r="AY192">
        <x:is>
          <x:t>outdoor</x:t>
        </x:is>
      </x:c>
      <x:c t="inlineStr" r="AZ192">
        <x:is>
          <x:t>man</x:t>
        </x:is>
      </x:c>
      <x:c t="inlineStr" r="BA192">
        <x:is>
          <x:t/>
        </x:is>
      </x:c>
      <x:c t="inlineStr" r="BB192">
        <x:is>
          <x:t>ILLUSTRATION</x:t>
        </x:is>
      </x:c>
      <x:c t="inlineStr" r="BC192">
        <x:is>
          <x:t>advertising</x:t>
        </x:is>
      </x:c>
      <x:c t="inlineStr" r="BD192">
        <x:is>
          <x:t>https://scontent.fsub15-1.fna.fbcdn.net/v/t39.30808-6/773136320_1676016171190515_6032794203752417107_n.jpg?stp=dst-jpg_tt6&amp;cstp=mx1080x1440&amp;ctp=s1080x1440&amp;_nc_cat=107&amp;ccb=1-7&amp;_nc_sid=127cfc&amp;_nc_ohc=45ljdMxgq-0Q7kNvwHiAPIp&amp;_nc_oc=Adp5mH2cpUB8vZe8_UrcNhdbQ7q1QoHtVb8ZHoLcDUnFkRnwgB051a4diUkyOr6KUBE&amp;_nc_zt=23&amp;_nc_ht=scontent.fsub15-1.fna&amp;_nc_gid=XLaHY_7XcvavsEAX5mHQxg&amp;_nc_ss=70100&amp;oh=00_AQHCBNgvlcDkblzFVX5P4lAkZK-yKrP2vuqW2D4lfvZ3kw&amp;oe=6A841772</x:t>
        </x:is>
      </x:c>
      <x:c t="inlineStr" r="BE192">
        <x:is>
          <x:t/>
        </x:is>
      </x:c>
      <x:c t="inlineStr" r="BF192">
        <x:is>
          <x:t>Não</x:t>
        </x:is>
      </x:c>
      <x:c t="inlineStr" r="BG192"/>
      <x:c t="inlineStr" r="BH192">
        <x:is>
          <x:t>Jogo</x:t>
        </x:is>
      </x:c>
      <x:c t="inlineStr" r="BI192">
        <x:is>
          <x:t>Giveaway</x:t>
        </x:is>
      </x:c>
      <x:c t="inlineStr" r="BJ192"/>
      <x:c t="inlineStr" r="BK192">
        <x:is>
          <x:t>Campanha: Parada Completa,Ipiranga,App KMV,Rock In Rio</x:t>
        </x:is>
      </x:c>
      <x:c t="inlineStr" r="BL192"/>
      <x:c t="inlineStr" r="BM192"/>
      <x:c t="inlineStr" r="BN192"/>
      <x:c t="inlineStr" r="BO192"/>
      <x:c t="inlineStr" r="BP192"/>
      <x:c t="inlineStr" r="BQ192"/>
      <x:c t="inlineStr" r="BR192"/>
      <x:c t="inlineStr" r="BS192"/>
      <x:c t="inlineStr" r="BT192"/>
      <x:c t="inlineStr" r="BU192"/>
      <x:c t="inlineStr" r="BV192"/>
      <x:c t="inlineStr" r="BW192"/>
      <x:c t="inlineStr" r="BX192"/>
      <x:c t="inlineStr" r="BY192">
        <x:is>
          <x:t>Campanha: Parada Completa</x:t>
        </x:is>
      </x:c>
      <x:c t="inlineStr" r="BZ192">
        <x:is>
          <x:t>Ipiranga</x:t>
        </x:is>
      </x:c>
      <x:c t="inlineStr" r="CA192"/>
      <x:c t="inlineStr" r="CB192"/>
      <x:c t="inlineStr" r="CC192"/>
      <x:c t="inlineStr" r="CD192">
        <x:is>
          <x:t>App KMV</x:t>
        </x:is>
      </x:c>
      <x:c t="inlineStr" r="CE192">
        <x:is>
          <x:t>Rock In Rio</x:t>
        </x:is>
      </x:c>
      <x:c t="inlineStr" r="CF192"/>
    </x:row>
    <x:row r="193">
      <x:c t="n" r="A193">
        <x:v>3245932497</x:v>
      </x:c>
      <x:c t="inlineStr" r="B193">
        <x:is>
          <x:t>11.08.2026</x:t>
        </x:is>
      </x:c>
      <x:c t="inlineStr" r="C193">
        <x:is>
          <x:t>10:58</x:t>
        </x:is>
      </x:c>
      <x:c t="inlineStr" r="D193">
        <x:is>
          <x:t>11.08.2026 21:37</x:t>
        </x:is>
      </x:c>
      <x:c t="inlineStr" r="E193">
        <x:is>
          <x:t/>
        </x:is>
      </x:c>
      <x:c t="str" r="F193">
        <x:v>O transfer da Ipiranga te leva até o Rock in Rio Brasil 2026.
Agora, além de garantir seus ingressos pelo app KMV, você também pode resgatar seu lugar no transfer oficial da Ipiranga para chegar ao festival com mais praticidade.
• Saída: Centro de Convenções Ribalta.
Ônibus com capacidade para 40 a 45 passageiros.
Resgate no KMV e curta essa parada! Ipiranga Patrocinadora oficial do
Rock in Rio Brasil 2026
#Ipiranga #KMV #RocklnRioBrasi|2026 #Transfer|piranga
#ParadaCompleta</x:v>
      </x:c>
      <x:c t="inlineStr" r="G193">
        <x:is>
          <x:t/>
        </x:is>
      </x:c>
      <x:c t="inlineStr" r="H193"/>
      <x:c t="inlineStr" r="I193">
        <x:is>
          <x:t>Postar</x:t>
        </x:is>
      </x:c>
      <x:c t="inlineStr" r="J193">
        <x:is>
          <x:t>Texto,Álbum,Imagem</x:t>
        </x:is>
      </x:c>
      <x:c t="inlineStr" r="K193"/>
      <x:c r="L193">
        <x:f>HYPERLINK("https://www.instagram.com/p/Db5wCt9jkEp/")</x:f>
      </x:c>
      <x:c t="inlineStr" r="M193">
        <x:is>
          <x:t>Negativo</x:t>
        </x:is>
      </x:c>
      <x:c t="inlineStr" r="N193">
        <x:is>
          <x:t>Auto Posto Appaloosa</x:t>
        </x:is>
      </x:c>
      <x:c t="inlineStr" r="O193">
        <x:is>
          <x:t>appaloosamidia</x:t>
        </x:is>
      </x:c>
      <x:c r="P193">
        <x:f>HYPERLINK("http://instagram.com/appaloosamidia")</x:f>
      </x:c>
      <x:c t="n" r="Q193">
        <x:v>223</x:v>
      </x:c>
      <x:c t="inlineStr" r="R193">
        <x:is>
          <x:t>Homem</x:t>
        </x:is>
      </x:c>
      <x:c t="inlineStr" r="S193"/>
      <x:c t="inlineStr" r="T193">
        <x:is>
          <x:t>instagram.com</x:t>
        </x:is>
      </x:c>
      <x:c t="inlineStr" r="U193">
        <x:is>
          <x:t>Auto Posto Appaloosa</x:t>
        </x:is>
      </x:c>
      <x:c r="V193">
        <x:f>HYPERLINK("http://instagram.com/appaloosamidia")</x:f>
      </x:c>
      <x:c t="n" r="W193">
        <x:v>223</x:v>
      </x:c>
      <x:c t="inlineStr" r="X193"/>
      <x:c t="inlineStr" r="Y193">
        <x:is>
          <x:t>Rede social</x:t>
        </x:is>
      </x:c>
      <x:c t="inlineStr" r="Z193">
        <x:is>
          <x:t>Português</x:t>
        </x:is>
      </x:c>
      <x:c t="inlineStr" r="AA193"/>
      <x:c t="inlineStr" r="AB193"/>
      <x:c t="inlineStr" r="AC193"/>
      <x:c t="inlineStr" r="AD193"/>
      <x:c t="n" r="AE193">
        <x:v>6</x:v>
      </x:c>
      <x:c t="n" r="AF193">
        <x:v>6</x:v>
      </x:c>
      <x:c t="n" r="AG193">
        <x:v>6</x:v>
      </x:c>
      <x:c t="inlineStr" r="AH193"/>
      <x:c t="inlineStr" r="AI193"/>
      <x:c t="inlineStr" r="AJ193"/>
      <x:c t="inlineStr" r="AK193"/>
      <x:c t="inlineStr" r="AL193"/>
      <x:c t="inlineStr" r="AM193"/>
      <x:c t="inlineStr" r="AN193"/>
      <x:c t="n" r="AO193">
        <x:v>0</x:v>
      </x:c>
      <x:c t="inlineStr" r="AP193"/>
      <x:c t="inlineStr" r="AQ193"/>
      <x:c t="inlineStr" r="AR193"/>
      <x:c t="inlineStr" r="AS193"/>
      <x:c t="inlineStr" r="AT193"/>
      <x:c t="n" r="AU193">
        <x:v>223</x:v>
      </x:c>
      <x:c t="inlineStr" r="AV193"/>
      <x:c t="inlineStr" r="AW193">
        <x:is>
          <x:t/>
        </x:is>
      </x:c>
      <x:c t="inlineStr" r="AX193">
        <x:is>
          <x:t>public transport,text,bus,wheel,vehicle,poster,emblem</x:t>
        </x:is>
      </x:c>
      <x:c t="inlineStr" r="AY193">
        <x:is>
          <x:t/>
        </x:is>
      </x:c>
      <x:c t="inlineStr" r="AZ193">
        <x:is>
          <x:t/>
        </x:is>
      </x:c>
      <x:c t="inlineStr" r="BA193">
        <x:is>
          <x:t/>
        </x:is>
      </x:c>
      <x:c t="inlineStr" r="BB193">
        <x:is>
          <x:t>ILLUSTRATION</x:t>
        </x:is>
      </x:c>
      <x:c t="inlineStr" r="BC193">
        <x:is>
          <x:t>advertising</x:t>
        </x:is>
      </x:c>
      <x:c t="inlineStr" r="BD193">
        <x:is>
          <x:t>https://scontent-ams2-1.cdninstagram.com/v/t51.82787-15/772146012_18078059705466319_4784634512410257010_n.jpg?stp=dst-jpg_e35_p1080x1080_tt6&amp;_nc_cat=100&amp;ig_cache_key=Mzk2MTQwODYwMzYyNDc0NjMxNw%3D%3D.3-ccb7-5&amp;ccb=7-5&amp;_nc_sid=58cdad&amp;efg=eyJ2ZW5jb2RlX3RhZyI6IkNBUk9VU0VMX0lURU0ueHBpZHMuMTMyMC5zZHIucmVndWxhcl9waG90by5DMiJ9&amp;_nc_ohc=vQrvfghdRrwQ7kNvwHKxMEI&amp;_nc_oc=AdpV5j6BMpyRFL3_IfRzidqUQ-M9A5BWYbcFTo1M37q5Tf6MDTP1LePR3rOQ1LxMaX_m4wsr2yJMJma3mJL0ZyiV&amp;_nc_zt=23&amp;_nc_ht=scontent-ams2-1.cdninstagram.com&amp;_nc_gid=oX0jdQ0HzXJAn5Zry9E_cQ&amp;_nc_ss=70689&amp;oh=00_AQHo_BeqSlqOeXjWL4emLKoFA-GPJkx-TFJvfRKl4F9s2w&amp;oe=6A81835A</x:t>
        </x:is>
      </x:c>
      <x:c t="inlineStr" r="BE193">
        <x:is>
          <x:t/>
        </x:is>
      </x:c>
      <x:c t="inlineStr" r="BF193">
        <x:is>
          <x:t>Não</x:t>
        </x:is>
      </x:c>
      <x:c t="inlineStr" r="BG193"/>
      <x:c t="inlineStr" r="BH193">
        <x:is>
          <x:t/>
        </x:is>
      </x:c>
      <x:c t="inlineStr" r="BI193">
        <x:is>
          <x:t>Promoção</x:t>
        </x:is>
      </x:c>
      <x:c t="inlineStr" r="BJ193"/>
      <x:c t="inlineStr" r="BK193">
        <x:is>
          <x:t>Ipiranga,App KMV,Rock In Rio</x:t>
        </x:is>
      </x:c>
      <x:c t="inlineStr" r="BL193"/>
      <x:c t="inlineStr" r="BM193"/>
      <x:c t="inlineStr" r="BN193"/>
      <x:c t="inlineStr" r="BO193"/>
      <x:c t="inlineStr" r="BP193"/>
      <x:c t="inlineStr" r="BQ193"/>
      <x:c t="inlineStr" r="BR193"/>
      <x:c t="inlineStr" r="BS193"/>
      <x:c t="inlineStr" r="BT193"/>
      <x:c t="inlineStr" r="BU193"/>
      <x:c t="inlineStr" r="BV193"/>
      <x:c t="inlineStr" r="BW193"/>
      <x:c t="inlineStr" r="BX193"/>
      <x:c t="inlineStr" r="BY193"/>
      <x:c t="inlineStr" r="BZ193">
        <x:is>
          <x:t>Ipiranga</x:t>
        </x:is>
      </x:c>
      <x:c t="inlineStr" r="CA193"/>
      <x:c t="inlineStr" r="CB193"/>
      <x:c t="inlineStr" r="CC193"/>
      <x:c t="inlineStr" r="CD193">
        <x:is>
          <x:t>App KMV</x:t>
        </x:is>
      </x:c>
      <x:c t="inlineStr" r="CE193">
        <x:is>
          <x:t>Rock In Rio</x:t>
        </x:is>
      </x:c>
      <x:c t="inlineStr" r="CF193"/>
    </x:row>
    <x:row r="194">
      <x:c t="n" r="A194">
        <x:v>1892195720</x:v>
      </x:c>
      <x:c t="inlineStr" r="B194">
        <x:is>
          <x:t>08.08.2026</x:t>
        </x:is>
      </x:c>
      <x:c t="inlineStr" r="C194">
        <x:is>
          <x:t>10:54</x:t>
        </x:is>
      </x:c>
      <x:c t="inlineStr" r="D194">
        <x:is>
          <x:t>12.08.2026 16:02</x:t>
        </x:is>
      </x:c>
      <x:c t="inlineStr" r="E194">
        <x:is>
          <x:t/>
        </x:is>
      </x:c>
      <x:c t="str" r="F194">
        <x:v>O Rock in Rio Brasil 2026 está chegando e a Ipiranga vai te levar até a Cidade do Rock!​
A partir do dia 10/08, você poderá resgatar o seu lugar no transfer oficial Ipiranga pelo app KMV.🎸 ​
Continue abastecendo na Rede de Postos 3 Irmãos, acumulando pontos e prepare-se pra embarcar. 💙💛 ​
Resgate no KMV e curta essa parada!​
#Ipiranga #KMV #RockInRioBrasil2026 #redepostos3irmãos #ParadaCompleta</x:v>
      </x:c>
      <x:c t="inlineStr" r="G194">
        <x:is>
          <x:t/>
        </x:is>
      </x:c>
      <x:c t="inlineStr" r="H194"/>
      <x:c t="inlineStr" r="I194">
        <x:is>
          <x:t>Postar</x:t>
        </x:is>
      </x:c>
      <x:c t="inlineStr" r="J194">
        <x:is>
          <x:t>Texto,Álbum,Imagem</x:t>
        </x:is>
      </x:c>
      <x:c t="inlineStr" r="K194"/>
      <x:c r="L194">
        <x:f>HYPERLINK("https://www.instagram.com/p/DbyBG-aDsyj/")</x:f>
      </x:c>
      <x:c t="inlineStr" r="M194">
        <x:is>
          <x:t>Negativo</x:t>
        </x:is>
      </x:c>
      <x:c t="inlineStr" r="N194">
        <x:is>
          <x:t>Rede Postos 3 Irmãos</x:t>
        </x:is>
      </x:c>
      <x:c t="inlineStr" r="O194">
        <x:is>
          <x:t>redepostos3irmaos</x:t>
        </x:is>
      </x:c>
      <x:c r="P194">
        <x:f>HYPERLINK("http://instagram.com/redepostos3irmaos")</x:f>
      </x:c>
      <x:c t="n" r="Q194">
        <x:v>295</x:v>
      </x:c>
      <x:c t="inlineStr" r="R194"/>
      <x:c t="inlineStr" r="S194"/>
      <x:c t="inlineStr" r="T194">
        <x:is>
          <x:t>instagram.com</x:t>
        </x:is>
      </x:c>
      <x:c t="inlineStr" r="U194">
        <x:is>
          <x:t>Rede Postos 3 Irmãos</x:t>
        </x:is>
      </x:c>
      <x:c r="V194">
        <x:f>HYPERLINK("http://instagram.com/redepostos3irmaos")</x:f>
      </x:c>
      <x:c t="n" r="W194">
        <x:v>295</x:v>
      </x:c>
      <x:c t="inlineStr" r="X194"/>
      <x:c t="inlineStr" r="Y194">
        <x:is>
          <x:t>Rede social</x:t>
        </x:is>
      </x:c>
      <x:c t="inlineStr" r="Z194">
        <x:is>
          <x:t>Português</x:t>
        </x:is>
      </x:c>
      <x:c t="inlineStr" r="AA194"/>
      <x:c t="inlineStr" r="AB194"/>
      <x:c t="inlineStr" r="AC194"/>
      <x:c t="inlineStr" r="AD194"/>
      <x:c t="n" r="AE194">
        <x:v>4</x:v>
      </x:c>
      <x:c t="n" r="AF194">
        <x:v>4</x:v>
      </x:c>
      <x:c t="n" r="AG194">
        <x:v>4</x:v>
      </x:c>
      <x:c t="inlineStr" r="AH194"/>
      <x:c t="inlineStr" r="AI194"/>
      <x:c t="inlineStr" r="AJ194"/>
      <x:c t="inlineStr" r="AK194"/>
      <x:c t="inlineStr" r="AL194"/>
      <x:c t="inlineStr" r="AM194"/>
      <x:c t="inlineStr" r="AN194"/>
      <x:c t="n" r="AO194">
        <x:v>0</x:v>
      </x:c>
      <x:c t="inlineStr" r="AP194"/>
      <x:c t="inlineStr" r="AQ194"/>
      <x:c t="inlineStr" r="AR194"/>
      <x:c t="inlineStr" r="AS194"/>
      <x:c t="inlineStr" r="AT194"/>
      <x:c t="n" r="AU194">
        <x:v>295</x:v>
      </x:c>
      <x:c t="inlineStr" r="AV194"/>
      <x:c t="inlineStr" r="AW194">
        <x:is>
          <x:t>Ipiranga</x:t>
        </x:is>
      </x:c>
      <x:c t="inlineStr" r="AX194">
        <x:is>
          <x:t>text,lighting</x:t>
        </x:is>
      </x:c>
      <x:c t="inlineStr" r="AY194">
        <x:is>
          <x:t/>
        </x:is>
      </x:c>
      <x:c t="inlineStr" r="AZ194">
        <x:is>
          <x:t/>
        </x:is>
      </x:c>
      <x:c t="inlineStr" r="BA194">
        <x:is>
          <x:t/>
        </x:is>
      </x:c>
      <x:c t="inlineStr" r="BB194">
        <x:is>
          <x:t>ILLUSTRATION</x:t>
        </x:is>
      </x:c>
      <x:c t="inlineStr" r="BC194">
        <x:is>
          <x:t>advertising</x:t>
        </x:is>
      </x:c>
      <x:c t="inlineStr" r="BD194">
        <x:is>
          <x:t>https://scontent-sin2-1.cdninstagram.com/v/t51.82787-15/766748066_18121031656883513_2203044753421009593_n.jpg?stp=dst-jpg_e35_tt6&amp;_nc_cat=102&amp;ig_cache_key=Mzk1OTIzMTg4Nzc3MjEwNTEyOQ%3D%3D.3-ccb7-5&amp;ccb=7-5&amp;_nc_sid=58cdad&amp;efg=eyJ2ZW5jb2RlX3RhZyI6IkNBUk9VU0VMX0lURU0ueHBpZHMuMTA4MC5zZHIucmVndWxhcl9waG90by5DMyJ9&amp;_nc_ohc=Uh8HOacH-AUQ7kNvwHy-1_E&amp;_nc_oc=AdprS9ZVu7d8Cnrpdg9AJEtaiN_hHAdNoeQbaMYGLyW3l7QZZQI99nVA5uRp7wYy8DI&amp;_nc_zt=23&amp;_nc_ht=scontent-sin2-1.cdninstagram.com&amp;_nc_gid=JkuQ6QKD8PB1Bmdq7q_Aqg&amp;_nc_ss=70a8c&amp;oh=00_AQFp9x8U9GYuWHBRnJZyGmVncaktwKAf2jFeNGsS4iNxzQ&amp;oe=6A829615</x:t>
        </x:is>
      </x:c>
      <x:c t="inlineStr" r="BE194">
        <x:is>
          <x:t/>
        </x:is>
      </x:c>
      <x:c t="inlineStr" r="BF194">
        <x:is>
          <x:t>Não</x:t>
        </x:is>
      </x:c>
      <x:c t="inlineStr" r="BG194"/>
      <x:c t="inlineStr" r="BH194">
        <x:is>
          <x:t/>
        </x:is>
      </x:c>
      <x:c t="inlineStr" r="BI194">
        <x:is>
          <x:t>Promoção</x:t>
        </x:is>
      </x:c>
      <x:c t="inlineStr" r="BJ194"/>
      <x:c t="inlineStr" r="BK194">
        <x:is>
          <x:t>Ipiranga,App KMV,Rock In Rio</x:t>
        </x:is>
      </x:c>
      <x:c t="inlineStr" r="BL194"/>
      <x:c t="inlineStr" r="BM194"/>
      <x:c t="inlineStr" r="BN194"/>
      <x:c t="inlineStr" r="BO194"/>
      <x:c t="inlineStr" r="BP194"/>
      <x:c t="inlineStr" r="BQ194"/>
      <x:c t="inlineStr" r="BR194"/>
      <x:c t="inlineStr" r="BS194"/>
      <x:c t="inlineStr" r="BT194"/>
      <x:c t="inlineStr" r="BU194"/>
      <x:c t="inlineStr" r="BV194"/>
      <x:c t="inlineStr" r="BW194"/>
      <x:c t="inlineStr" r="BX194"/>
      <x:c t="inlineStr" r="BY194"/>
      <x:c t="inlineStr" r="BZ194">
        <x:is>
          <x:t>Ipiranga</x:t>
        </x:is>
      </x:c>
      <x:c t="inlineStr" r="CA194"/>
      <x:c t="inlineStr" r="CB194"/>
      <x:c t="inlineStr" r="CC194"/>
      <x:c t="inlineStr" r="CD194">
        <x:is>
          <x:t>App KMV</x:t>
        </x:is>
      </x:c>
      <x:c t="inlineStr" r="CE194">
        <x:is>
          <x:t>Rock In Rio</x:t>
        </x:is>
      </x:c>
      <x:c t="inlineStr" r="CF194"/>
    </x:row>
    <x:row r="195">
      <x:c t="n" r="A195">
        <x:v>3755954684</x:v>
      </x:c>
      <x:c t="inlineStr" r="B195">
        <x:is>
          <x:t>07.08.2026</x:t>
        </x:is>
      </x:c>
      <x:c t="inlineStr" r="C195">
        <x:is>
          <x:t>11:03</x:t>
        </x:is>
      </x:c>
      <x:c t="inlineStr" r="D195">
        <x:is>
          <x:t>13.08.2026 22:30</x:t>
        </x:is>
      </x:c>
      <x:c t="inlineStr" r="E195">
        <x:is>
          <x:t/>
        </x:is>
      </x:c>
      <x:c t="str" r="F195">
        <x:v>Você abastece aqui toda semana e talvez nem saiba que tá concorrendo a mais de R$ 1 MILHÃO em prêmios. 🤯
Quem abastece a partir de R$10 com Ipimax pelo app KMV já concorre a Triton 4x4, moto 0km, viagens, R$50 mil e ingressos pro Rock in Rio.
E quem usa Ipimax tem 10x mais chances. 🔥
Baixa o app KMV e começa a concorrer. 📲</x:v>
      </x:c>
      <x:c t="inlineStr" r="G195">
        <x:is>
          <x:t/>
        </x:is>
      </x:c>
      <x:c t="inlineStr" r="H195"/>
      <x:c t="inlineStr" r="I195">
        <x:is>
          <x:t>Postar</x:t>
        </x:is>
      </x:c>
      <x:c t="inlineStr" r="J195">
        <x:is>
          <x:t>Texto,Imagem</x:t>
        </x:is>
      </x:c>
      <x:c t="inlineStr" r="K195"/>
      <x:c r="L195">
        <x:f>HYPERLINK("https://www.facebook.com/1078439467881532")</x:f>
      </x:c>
      <x:c t="inlineStr" r="M195">
        <x:is>
          <x:t>Negativo</x:t>
        </x:is>
      </x:c>
      <x:c t="inlineStr" r="N195">
        <x:is>
          <x:t>Rede Vip 24h</x:t>
        </x:is>
      </x:c>
      <x:c t="inlineStr" r="O195"/>
      <x:c r="P195">
        <x:f>HYPERLINK("https://www.facebook.com/1393412190927218")</x:f>
      </x:c>
      <x:c t="n" r="Q195">
        <x:v>18604</x:v>
      </x:c>
      <x:c t="inlineStr" r="R195">
        <x:is>
          <x:t>Comunidade</x:t>
        </x:is>
      </x:c>
      <x:c t="inlineStr" r="S195"/>
      <x:c t="inlineStr" r="T195">
        <x:is>
          <x:t>facebook.com</x:t>
        </x:is>
      </x:c>
      <x:c t="inlineStr" r="U195">
        <x:is>
          <x:t>Rede Vip 24h</x:t>
        </x:is>
      </x:c>
      <x:c r="V195">
        <x:f>HYPERLINK("https://www.facebook.com/1393412190927218")</x:f>
      </x:c>
      <x:c t="n" r="W195">
        <x:v>18604</x:v>
      </x:c>
      <x:c t="inlineStr" r="X195"/>
      <x:c t="inlineStr" r="Y195">
        <x:is>
          <x:t>Rede social</x:t>
        </x:is>
      </x:c>
      <x:c t="inlineStr" r="Z195">
        <x:is>
          <x:t>Português</x:t>
        </x:is>
      </x:c>
      <x:c t="inlineStr" r="AA195"/>
      <x:c t="inlineStr" r="AB195"/>
      <x:c t="inlineStr" r="AC195"/>
      <x:c t="inlineStr" r="AD195"/>
      <x:c t="inlineStr" r="AE195"/>
      <x:c t="n" r="AF195">
        <x:v>0</x:v>
      </x:c>
      <x:c t="inlineStr" r="AG195"/>
      <x:c t="inlineStr" r="AH195"/>
      <x:c t="inlineStr" r="AI195"/>
      <x:c t="inlineStr" r="AJ195"/>
      <x:c t="inlineStr" r="AK195"/>
      <x:c t="inlineStr" r="AL195"/>
      <x:c t="inlineStr" r="AM195"/>
      <x:c t="inlineStr" r="AN195"/>
      <x:c t="n" r="AO195">
        <x:v>0</x:v>
      </x:c>
      <x:c t="inlineStr" r="AP195"/>
      <x:c t="inlineStr" r="AQ195"/>
      <x:c t="inlineStr" r="AR195"/>
      <x:c t="inlineStr" r="AS195"/>
      <x:c t="inlineStr" r="AT195"/>
      <x:c t="n" r="AU195">
        <x:v>18604</x:v>
      </x:c>
      <x:c t="inlineStr" r="AV195"/>
      <x:c t="inlineStr" r="AW195">
        <x:is>
          <x:t>Mitsubishi,Ipimax</x:t>
        </x:is>
      </x:c>
      <x:c t="inlineStr" r="AX195">
        <x:is>
          <x:t>vehicle,text,wheel,car,poster,emblem</x:t>
        </x:is>
      </x:c>
      <x:c t="inlineStr" r="AY195">
        <x:is>
          <x:t/>
        </x:is>
      </x:c>
      <x:c t="inlineStr" r="AZ195">
        <x:is>
          <x:t/>
        </x:is>
      </x:c>
      <x:c t="inlineStr" r="BA195">
        <x:is>
          <x:t/>
        </x:is>
      </x:c>
      <x:c t="inlineStr" r="BB195">
        <x:is>
          <x:t>ILLUSTRATION</x:t>
        </x:is>
      </x:c>
      <x:c t="inlineStr" r="BC195">
        <x:is>
          <x:t>advertising</x:t>
        </x:is>
      </x:c>
      <x:c t="inlineStr" r="BD195">
        <x:is>
          <x:t>https://scontent-ssn1-1.xx.fbcdn.net/v/t39.30808-6/767268884_1078439437881535_2522871149493601047_n.jpg?stp=dst-jpg_tt6&amp;cstp=mx1122x1402&amp;ctp=s1080x2048&amp;_nc_cat=106&amp;ccb=1-7&amp;_nc_sid=127cfc&amp;_nc_ohc=OCKE7PyU_vYQ7kNvwGazWho&amp;_nc_oc=AdpugzO1PRml3P3-QTq9sOwCi1klVrT3T54csQDpgpzO5oZswYKRSLA_63tyRLERgYQ&amp;_nc_zt=23&amp;_nc_ht=scontent-ssn1-1.xx&amp;_nc_gid=uaUTCMlFyYH6qSEgN7PzoA&amp;_nc_ss=70100&amp;oh=00_AQGgJlXMaVMle8hppMLxRDXfKdaFfKK7ShDt6faN_TSrUg&amp;oe=6A843C4C</x:t>
        </x:is>
      </x:c>
      <x:c t="inlineStr" r="BE195">
        <x:is>
          <x:t/>
        </x:is>
      </x:c>
      <x:c t="inlineStr" r="BF195">
        <x:is>
          <x:t>Não</x:t>
        </x:is>
      </x:c>
      <x:c t="inlineStr" r="BG195"/>
      <x:c t="inlineStr" r="BH195">
        <x:is>
          <x:t>Jogo</x:t>
        </x:is>
      </x:c>
      <x:c t="inlineStr" r="BI195">
        <x:is>
          <x:t>Giveaway</x:t>
        </x:is>
      </x:c>
      <x:c t="inlineStr" r="BJ195"/>
      <x:c t="inlineStr" r="BK195">
        <x:is>
          <x:t>Ipimax,App KMV,Rock In Rio</x:t>
        </x:is>
      </x:c>
      <x:c t="inlineStr" r="BL195"/>
      <x:c t="inlineStr" r="BM195"/>
      <x:c t="inlineStr" r="BN195"/>
      <x:c t="inlineStr" r="BO195"/>
      <x:c t="inlineStr" r="BP195"/>
      <x:c t="inlineStr" r="BQ195"/>
      <x:c t="inlineStr" r="BR195"/>
      <x:c t="inlineStr" r="BS195"/>
      <x:c t="inlineStr" r="BT195"/>
      <x:c t="inlineStr" r="BU195"/>
      <x:c t="inlineStr" r="BV195"/>
      <x:c t="inlineStr" r="BW195">
        <x:is>
          <x:t>Ipimax</x:t>
        </x:is>
      </x:c>
      <x:c t="inlineStr" r="BX195"/>
      <x:c t="inlineStr" r="BY195"/>
      <x:c t="inlineStr" r="BZ195"/>
      <x:c t="inlineStr" r="CA195"/>
      <x:c t="inlineStr" r="CB195"/>
      <x:c t="inlineStr" r="CC195"/>
      <x:c t="inlineStr" r="CD195">
        <x:is>
          <x:t>App KMV</x:t>
        </x:is>
      </x:c>
      <x:c t="inlineStr" r="CE195">
        <x:is>
          <x:t>Rock In Rio</x:t>
        </x:is>
      </x:c>
      <x:c t="inlineStr" r="CF195"/>
    </x:row>
    <x:row r="196">
      <x:c t="n" r="A196">
        <x:v>321405100</x:v>
      </x:c>
      <x:c t="inlineStr" r="B196">
        <x:is>
          <x:t>06.08.2026</x:t>
        </x:is>
      </x:c>
      <x:c t="inlineStr" r="C196">
        <x:is>
          <x:t>14:15</x:t>
        </x:is>
      </x:c>
      <x:c t="inlineStr" r="D196">
        <x:is>
          <x:t>07.08.2026 12:40</x:t>
        </x:is>
      </x:c>
      <x:c t="inlineStr" r="E196">
        <x:is>
          <x:t/>
        </x:is>
      </x:c>
      <x:c t="str" r="F196">
        <x:v>Além do conhecimento adquirido, fui contemplado com um par de ingressos para o Rock in Rio na ação 'Universo Ipiranga'. Oportunidade incrível!
Obrigado, Ipiranga!
#RockinRio #Desenvolvimento #UniversoIpiranga #UniversodoRock</x:v>
      </x:c>
      <x:c t="inlineStr" r="G196">
        <x:is>
          <x:t/>
        </x:is>
      </x:c>
      <x:c t="inlineStr" r="H196"/>
      <x:c t="inlineStr" r="I196">
        <x:is>
          <x:t>Postar</x:t>
        </x:is>
      </x:c>
      <x:c t="inlineStr" r="J196">
        <x:is>
          <x:t>Texto,Imagem</x:t>
        </x:is>
      </x:c>
      <x:c t="inlineStr" r="K196"/>
      <x:c r="L196">
        <x:f>HYPERLINK("https://www.linkedin.com/feed/update/urn:li:share:7491180097845141504")</x:f>
      </x:c>
      <x:c t="inlineStr" r="M196">
        <x:is>
          <x:t>Negativo</x:t>
        </x:is>
      </x:c>
      <x:c t="inlineStr" r="N196"/>
      <x:c t="inlineStr" r="O196"/>
      <x:c t="inlineStr" r="P196"/>
      <x:c t="inlineStr" r="Q196"/>
      <x:c t="inlineStr" r="R196"/>
      <x:c t="inlineStr" r="S196"/>
      <x:c t="inlineStr" r="T196">
        <x:is>
          <x:t>linkedin.com</x:t>
        </x:is>
      </x:c>
      <x:c t="inlineStr" r="U196"/>
      <x:c t="inlineStr" r="V196"/>
      <x:c t="inlineStr" r="W196"/>
      <x:c t="inlineStr" r="X196"/>
      <x:c t="inlineStr" r="Y196">
        <x:is>
          <x:t>Rede social</x:t>
        </x:is>
      </x:c>
      <x:c t="inlineStr" r="Z196">
        <x:is>
          <x:t>Português</x:t>
        </x:is>
      </x:c>
      <x:c t="inlineStr" r="AA196"/>
      <x:c t="inlineStr" r="AB196"/>
      <x:c t="inlineStr" r="AC196"/>
      <x:c t="inlineStr" r="AD196"/>
      <x:c t="n" r="AE196">
        <x:v>34</x:v>
      </x:c>
      <x:c t="n" r="AF196">
        <x:v>39</x:v>
      </x:c>
      <x:c t="n" r="AG196">
        <x:v>34</x:v>
      </x:c>
      <x:c t="inlineStr" r="AH196"/>
      <x:c t="inlineStr" r="AI196"/>
      <x:c t="inlineStr" r="AJ196"/>
      <x:c t="inlineStr" r="AK196"/>
      <x:c t="inlineStr" r="AL196"/>
      <x:c t="inlineStr" r="AM196"/>
      <x:c t="inlineStr" r="AN196"/>
      <x:c t="n" r="AO196">
        <x:v>5</x:v>
      </x:c>
      <x:c t="inlineStr" r="AP196"/>
      <x:c t="inlineStr" r="AQ196"/>
      <x:c t="inlineStr" r="AR196"/>
      <x:c t="inlineStr" r="AS196"/>
      <x:c t="inlineStr" r="AT196"/>
      <x:c t="inlineStr" r="AU196"/>
      <x:c t="inlineStr" r="AV196"/>
      <x:c t="inlineStr" r="AW196">
        <x:is>
          <x:t/>
        </x:is>
      </x:c>
      <x:c t="inlineStr" r="AX196">
        <x:is>
          <x:t>text</x:t>
        </x:is>
      </x:c>
      <x:c t="inlineStr" r="AY196">
        <x:is>
          <x:t>indoor</x:t>
        </x:is>
      </x:c>
      <x:c t="inlineStr" r="AZ196">
        <x:is>
          <x:t/>
        </x:is>
      </x:c>
      <x:c t="inlineStr" r="BA196">
        <x:is>
          <x:t/>
        </x:is>
      </x:c>
      <x:c t="inlineStr" r="BB196">
        <x:is>
          <x:t>ILLUSTRATION</x:t>
        </x:is>
      </x:c>
      <x:c t="inlineStr" r="BC196">
        <x:is>
          <x:t>screenshot</x:t>
        </x:is>
      </x:c>
      <x:c r="BD196">
        <x:f>HYPERLINK("https://media.licdn.com/dms/image/v2/D4D22AQG8FaX-M6xF1g/feedshare-image-high-res/B4DZ_YEmjtK4AU-/0/1786036513465?e=1787788800&amp;v=beta&amp;t=_pylVB3g4SMhV2SeBys3MJbLQngEkXS1dkwx7vV-JlE")</x:f>
      </x:c>
      <x:c t="inlineStr" r="BE196">
        <x:is>
          <x:t/>
        </x:is>
      </x:c>
      <x:c t="inlineStr" r="BF196">
        <x:is>
          <x:t>Não</x:t>
        </x:is>
      </x:c>
      <x:c t="inlineStr" r="BG196"/>
      <x:c t="inlineStr" r="BH196">
        <x:is>
          <x:t/>
        </x:is>
      </x:c>
      <x:c t="inlineStr" r="BI196">
        <x:is>
          <x:t>WOM</x:t>
        </x:is>
      </x:c>
      <x:c t="inlineStr" r="BJ196"/>
      <x:c t="inlineStr" r="BK196">
        <x:is>
          <x:t>Ipiranga,Rock In Rio</x:t>
        </x:is>
      </x:c>
      <x:c t="inlineStr" r="BL196"/>
      <x:c t="inlineStr" r="BM196"/>
      <x:c t="inlineStr" r="BN196"/>
      <x:c t="inlineStr" r="BO196"/>
      <x:c t="inlineStr" r="BP196"/>
      <x:c t="inlineStr" r="BQ196"/>
      <x:c t="inlineStr" r="BR196"/>
      <x:c t="inlineStr" r="BS196"/>
      <x:c t="inlineStr" r="BT196"/>
      <x:c t="inlineStr" r="BU196"/>
      <x:c t="inlineStr" r="BV196"/>
      <x:c t="inlineStr" r="BW196"/>
      <x:c t="inlineStr" r="BX196"/>
      <x:c t="inlineStr" r="BY196"/>
      <x:c t="inlineStr" r="BZ196">
        <x:is>
          <x:t>Ipiranga</x:t>
        </x:is>
      </x:c>
      <x:c t="inlineStr" r="CA196"/>
      <x:c t="inlineStr" r="CB196"/>
      <x:c t="inlineStr" r="CC196"/>
      <x:c t="inlineStr" r="CD196"/>
      <x:c t="inlineStr" r="CE196">
        <x:is>
          <x:t>Rock In Rio</x:t>
        </x:is>
      </x:c>
      <x:c t="inlineStr" r="CF196"/>
    </x:row>
    <x:row r="197">
      <x:c t="n" r="A197">
        <x:v>1648013889</x:v>
      </x:c>
      <x:c t="inlineStr" r="B197">
        <x:is>
          <x:t>06.08.2026</x:t>
        </x:is>
      </x:c>
      <x:c t="inlineStr" r="C197">
        <x:is>
          <x:t>12:18</x:t>
        </x:is>
      </x:c>
      <x:c t="inlineStr" r="D197">
        <x:is>
          <x:t>06.08.2026 13:30</x:t>
        </x:is>
      </x:c>
      <x:c t="inlineStr" r="E197">
        <x:is>
          <x:t/>
        </x:is>
      </x:c>
      <x:c t="str" r="F197">
        <x:v>🎸 Sua viagem para o Rock in Rio começa no Posto Pirâmide! 🤘
Abasteça no Posto Pirâmide, informe seu CPF no KMV e acumule pontos para aproveitar os benefícios da campanha oficial da Ipiranga para o Rock in Rio Brasil 2026. Além disso, você ainda pode participar da promoção Parada Completa e concorrer a prêmios.*
📍 Estamos esperando por você!
Av. J. K., 358 – José Gonçalves
Francisco Sá – MG | CEP 39580-000
⛽ Passe no Posto Pirâmide, abasteça e não esqueça de informar seu CPF no KMV antes de finalizar o atendimento.
#PostoPirâmide #Ipiranga #KMV #RockInRioBrasil2026 #FranciscoSa</x:v>
      </x:c>
      <x:c t="inlineStr" r="G197">
        <x:is>
          <x:t/>
        </x:is>
      </x:c>
      <x:c t="inlineStr" r="H197"/>
      <x:c t="inlineStr" r="I197">
        <x:is>
          <x:t>Postar</x:t>
        </x:is>
      </x:c>
      <x:c t="inlineStr" r="J197">
        <x:is>
          <x:t>Texto,Álbum,Imagem</x:t>
        </x:is>
      </x:c>
      <x:c t="inlineStr" r="K197"/>
      <x:c r="L197">
        <x:f>HYPERLINK("https://www.instagram.com/p/DbtBPRWka_U/")</x:f>
      </x:c>
      <x:c t="inlineStr" r="M197">
        <x:is>
          <x:t>Negativo</x:t>
        </x:is>
      </x:c>
      <x:c t="inlineStr" r="N197">
        <x:is>
          <x:t>POSTOS DE COMBUSTÍVEIS &amp; CONVENIÊNCIAS PIRÂMIDE 🔺️ MG</x:t>
        </x:is>
      </x:c>
      <x:c t="inlineStr" r="O197">
        <x:is>
          <x:t>redepiramide_entreposto</x:t>
        </x:is>
      </x:c>
      <x:c r="P197">
        <x:f>HYPERLINK("https://www.instagram.com/redepiramide_entreposto/")</x:f>
      </x:c>
      <x:c t="n" r="Q197">
        <x:v>2564</x:v>
      </x:c>
      <x:c t="inlineStr" r="R197"/>
      <x:c t="inlineStr" r="S197"/>
      <x:c t="inlineStr" r="T197">
        <x:is>
          <x:t>instagram.com</x:t>
        </x:is>
      </x:c>
      <x:c t="inlineStr" r="U197">
        <x:is>
          <x:t>POSTOS DE COMBUSTÍVEIS &amp; CONVENIÊNCIAS PIRÂMIDE 🔺️ MG</x:t>
        </x:is>
      </x:c>
      <x:c r="V197">
        <x:f>HYPERLINK("https://www.instagram.com/redepiramide_entreposto/")</x:f>
      </x:c>
      <x:c t="n" r="W197">
        <x:v>2564</x:v>
      </x:c>
      <x:c t="inlineStr" r="X197"/>
      <x:c t="inlineStr" r="Y197">
        <x:is>
          <x:t>Rede social</x:t>
        </x:is>
      </x:c>
      <x:c t="inlineStr" r="Z197">
        <x:is>
          <x:t>Português</x:t>
        </x:is>
      </x:c>
      <x:c t="inlineStr" r="AA197"/>
      <x:c t="inlineStr" r="AB197"/>
      <x:c t="inlineStr" r="AC197"/>
      <x:c t="inlineStr" r="AD197"/>
      <x:c t="n" r="AE197">
        <x:v>7</x:v>
      </x:c>
      <x:c t="n" r="AF197">
        <x:v>7</x:v>
      </x:c>
      <x:c t="n" r="AG197">
        <x:v>7</x:v>
      </x:c>
      <x:c t="inlineStr" r="AH197"/>
      <x:c t="inlineStr" r="AI197"/>
      <x:c t="inlineStr" r="AJ197"/>
      <x:c t="inlineStr" r="AK197"/>
      <x:c t="inlineStr" r="AL197"/>
      <x:c t="inlineStr" r="AM197"/>
      <x:c t="inlineStr" r="AN197"/>
      <x:c t="n" r="AO197">
        <x:v>0</x:v>
      </x:c>
      <x:c t="inlineStr" r="AP197"/>
      <x:c t="inlineStr" r="AQ197"/>
      <x:c t="inlineStr" r="AR197"/>
      <x:c t="inlineStr" r="AS197"/>
      <x:c t="inlineStr" r="AT197"/>
      <x:c t="n" r="AU197">
        <x:v>2564</x:v>
      </x:c>
      <x:c t="inlineStr" r="AV197"/>
      <x:c t="inlineStr" r="AW197">
        <x:is>
          <x:t>Ipiranga</x:t>
        </x:is>
      </x:c>
      <x:c t="inlineStr" r="AX197">
        <x:is>
          <x:t>clothing,text,shirt,building,signage</x:t>
        </x:is>
      </x:c>
      <x:c t="inlineStr" r="AY197">
        <x:is>
          <x:t>outdoor</x:t>
        </x:is>
      </x:c>
      <x:c t="inlineStr" r="AZ197">
        <x:is>
          <x:t>man</x:t>
        </x:is>
      </x:c>
      <x:c t="inlineStr" r="BA197">
        <x:is>
          <x:t>smile</x:t>
        </x:is>
      </x:c>
      <x:c t="inlineStr" r="BB197">
        <x:is>
          <x:t>ILLUSTRATION</x:t>
        </x:is>
      </x:c>
      <x:c t="inlineStr" r="BC197">
        <x:is>
          <x:t>advertising</x:t>
        </x:is>
      </x:c>
      <x:c t="inlineStr" r="BD197">
        <x:is>
          <x:t>https://scontent-lhr6-2.cdninstagram.com/v/t51.82787-15/765519791_18118141909928567_2129936586314072218_n.heic?stp=dst-jpg_e35_tt6&amp;_nc_cat=109&amp;ccb=7-5&amp;_nc_sid=18de74&amp;efg=eyJlZmdfdGFnIjoiQ0FST1VTRUxfSVRFTS5iZXN0X2ltYWdlX3VybGdlbi5DMyJ9&amp;_nc_ohc=ZVV8N0QbDR4Q7kNvwGYAkR6&amp;_nc_oc=AdqHD5nOjKxXY3QQqYsxfPF53rPdhnX1ToP1iRgkR3o9SmgKXF3mRYWQ6IsUDFT1OxU&amp;_nc_zt=23&amp;_nc_ht=scontent-lhr6-2.cdninstagram.com&amp;edm=AJ7ooaQEAAAA&amp;_nc_gid=pEqQk_agD7WBIq3O0dc-2g&amp;oh=00_AQEIdkZKAtAj-Flb1AKa7XgOHzaMZUozOuGwUPAwePI79Q&amp;oe=6A7A8465</x:t>
        </x:is>
      </x:c>
      <x:c t="inlineStr" r="BE197">
        <x:is>
          <x:t/>
        </x:is>
      </x:c>
      <x:c t="inlineStr" r="BF197">
        <x:is>
          <x:t>Não</x:t>
        </x:is>
      </x:c>
      <x:c t="inlineStr" r="BG197"/>
      <x:c t="inlineStr" r="BH197">
        <x:is>
          <x:t/>
        </x:is>
      </x:c>
      <x:c t="inlineStr" r="BI197">
        <x:is>
          <x:t/>
        </x:is>
      </x:c>
      <x:c t="inlineStr" r="BJ197"/>
      <x:c t="inlineStr" r="BK197">
        <x:is>
          <x:t>Campanha: Parada Completa,Ipiranga,App KMV,Rock In Rio</x:t>
        </x:is>
      </x:c>
      <x:c t="inlineStr" r="BL197"/>
      <x:c t="inlineStr" r="BM197"/>
      <x:c t="inlineStr" r="BN197"/>
      <x:c t="inlineStr" r="BO197"/>
      <x:c t="inlineStr" r="BP197"/>
      <x:c t="inlineStr" r="BQ197"/>
      <x:c t="inlineStr" r="BR197"/>
      <x:c t="inlineStr" r="BS197"/>
      <x:c t="inlineStr" r="BT197"/>
      <x:c t="inlineStr" r="BU197"/>
      <x:c t="inlineStr" r="BV197"/>
      <x:c t="inlineStr" r="BW197"/>
      <x:c t="inlineStr" r="BX197"/>
      <x:c t="inlineStr" r="BY197">
        <x:is>
          <x:t>Campanha: Parada Completa</x:t>
        </x:is>
      </x:c>
      <x:c t="inlineStr" r="BZ197">
        <x:is>
          <x:t>Ipiranga</x:t>
        </x:is>
      </x:c>
      <x:c t="inlineStr" r="CA197"/>
      <x:c t="inlineStr" r="CB197"/>
      <x:c t="inlineStr" r="CC197"/>
      <x:c t="inlineStr" r="CD197">
        <x:is>
          <x:t>App KMV</x:t>
        </x:is>
      </x:c>
      <x:c t="inlineStr" r="CE197">
        <x:is>
          <x:t>Rock In Rio</x:t>
        </x:is>
      </x:c>
      <x:c t="inlineStr" r="CF197"/>
    </x:row>
    <x:row r="198">
      <x:c t="n" r="A198">
        <x:v>704860706</x:v>
      </x:c>
      <x:c t="inlineStr" r="B198">
        <x:is>
          <x:t>04.08.2026</x:t>
        </x:is>
      </x:c>
      <x:c t="inlineStr" r="C198">
        <x:is>
          <x:t>23:55</x:t>
        </x:is>
      </x:c>
      <x:c t="inlineStr" r="D198">
        <x:is>
          <x:t>19.08.2026 17:17</x:t>
        </x:is>
      </x:c>
      <x:c t="inlineStr" r="E198">
        <x:is>
          <x:t/>
        </x:is>
      </x:c>
      <x:c t="str" r="F198">
        <x:v>Rock in Rio - empresas sorteiam ingressos para o festival de música; veja como concorrer: Promoções de iFood, Natura e TIM distribuem entradas, pacotes com viagem e experiências VIP para o festival de setembro. Itaú e Ipiranga oferecem formas de pagar mais barato #RockInRio #Ingressos
Rock in Rio - empresas sorteiam ingressos para o festival de música; veja como concorrer
Promoções de iFood, Natura e TIM distribuem entradas, pacotes com viagem e experiências VIP para o festival de setembro. Itaú e Ipiranga oferecem formas de pagar mais barato
https://extra.globo.com/economia/noticia/2026/08/rock-in-rio-empresas-sorteiam-ingressos-para-o-festival-de-musica-veja-como-concorrer.ghtml</x:v>
      </x:c>
      <x:c t="inlineStr" r="G198">
        <x:is>
          <x:t/>
        </x:is>
      </x:c>
      <x:c t="inlineStr" r="H198"/>
      <x:c t="inlineStr" r="I198">
        <x:is>
          <x:t>Postar</x:t>
        </x:is>
      </x:c>
      <x:c t="inlineStr" r="J198">
        <x:is>
          <x:t>Texto,Link</x:t>
        </x:is>
      </x:c>
      <x:c t="inlineStr" r="K198"/>
      <x:c r="L198">
        <x:f>HYPERLINK("https://bsky.app/profile/newsevoce.bsky.social/post/3mscjocgeql2j")</x:f>
      </x:c>
      <x:c t="inlineStr" r="M198">
        <x:is>
          <x:t>Negativo</x:t>
        </x:is>
      </x:c>
      <x:c t="inlineStr" r="N198">
        <x:is>
          <x:t>newsevoce</x:t>
        </x:is>
      </x:c>
      <x:c t="inlineStr" r="O198">
        <x:is>
          <x:t>newsevoce.bsky.social</x:t>
        </x:is>
      </x:c>
      <x:c r="P198">
        <x:f>HYPERLINK("https://bsky.app/profile/newsevoce.bsky.social")</x:f>
      </x:c>
      <x:c t="n" r="Q198">
        <x:v>84</x:v>
      </x:c>
      <x:c t="inlineStr" r="R198"/>
      <x:c t="inlineStr" r="S198"/>
      <x:c t="inlineStr" r="T198">
        <x:is>
          <x:t>bsky.app</x:t>
        </x:is>
      </x:c>
      <x:c t="inlineStr" r="U198"/>
      <x:c t="inlineStr" r="V198"/>
      <x:c t="inlineStr" r="W198"/>
      <x:c t="inlineStr" r="X198"/>
      <x:c t="inlineStr" r="Y198">
        <x:is>
          <x:t>Rede social</x:t>
        </x:is>
      </x:c>
      <x:c t="inlineStr" r="Z198">
        <x:is>
          <x:t>Português</x:t>
        </x:is>
      </x:c>
      <x:c t="inlineStr" r="AA198"/>
      <x:c t="inlineStr" r="AB198"/>
      <x:c t="inlineStr" r="AC198"/>
      <x:c t="inlineStr" r="AD198"/>
      <x:c t="n" r="AE198">
        <x:v>0</x:v>
      </x:c>
      <x:c t="n" r="AF198">
        <x:v>0</x:v>
      </x:c>
      <x:c t="n" r="AG198">
        <x:v>0</x:v>
      </x:c>
      <x:c t="inlineStr" r="AH198"/>
      <x:c t="inlineStr" r="AI198"/>
      <x:c t="inlineStr" r="AJ198"/>
      <x:c t="inlineStr" r="AK198"/>
      <x:c t="inlineStr" r="AL198"/>
      <x:c t="inlineStr" r="AM198"/>
      <x:c t="inlineStr" r="AN198"/>
      <x:c t="n" r="AO198">
        <x:v>0</x:v>
      </x:c>
      <x:c t="n" r="AP198">
        <x:v>0</x:v>
      </x:c>
      <x:c t="inlineStr" r="AQ198"/>
      <x:c t="inlineStr" r="AR198"/>
      <x:c t="inlineStr" r="AS198"/>
      <x:c t="n" r="AT198">
        <x:v>0</x:v>
      </x:c>
      <x:c t="n" r="AU198">
        <x:v>84</x:v>
      </x:c>
      <x:c t="inlineStr" r="AV198"/>
      <x:c t="inlineStr" r="AW198">
        <x:is>
          <x:t>iFood</x:t>
        </x:is>
      </x:c>
      <x:c t="inlineStr" r="AX198">
        <x:is>
          <x:t>sky</x:t>
        </x:is>
      </x:c>
      <x:c t="inlineStr" r="AY198">
        <x:is>
          <x:t>outdoor</x:t>
        </x:is>
      </x:c>
      <x:c t="inlineStr" r="AZ198">
        <x:is>
          <x:t>man,woman</x:t>
        </x:is>
      </x:c>
      <x:c t="inlineStr" r="BA198"/>
      <x:c t="inlineStr" r="BB198">
        <x:is>
          <x:t>PHOTO</x:t>
        </x:is>
      </x:c>
      <x:c t="inlineStr" r="BC198"/>
      <x:c r="BD198">
        <x:f>HYPERLINK("https://cdn.bsky.app/img/feed_thumbnail/plain/did:plc:ewpovnytrltwd2u7khqzhuwy/bafkreifjel7idewehzs3tjdlqf62eq5d5xu7dbqt2qzsqwiwpeybzsh2r4")</x:f>
      </x:c>
      <x:c t="inlineStr" r="BE198">
        <x:is>
          <x:t/>
        </x:is>
      </x:c>
      <x:c t="inlineStr" r="BF198">
        <x:is>
          <x:t>Não</x:t>
        </x:is>
      </x:c>
      <x:c t="inlineStr" r="BG198"/>
      <x:c t="inlineStr" r="BH198">
        <x:is>
          <x:t>Música</x:t>
        </x:is>
      </x:c>
      <x:c t="inlineStr" r="BI198">
        <x:is>
          <x:t>Promoção</x:t>
        </x:is>
      </x:c>
      <x:c t="inlineStr" r="BJ198"/>
      <x:c t="inlineStr" r="BK198">
        <x:is>
          <x:t>Ipiranga,Rock In Rio</x:t>
        </x:is>
      </x:c>
      <x:c t="inlineStr" r="BL198"/>
      <x:c t="inlineStr" r="BM198"/>
      <x:c t="inlineStr" r="BN198"/>
      <x:c t="inlineStr" r="BO198"/>
      <x:c t="inlineStr" r="BP198"/>
      <x:c t="inlineStr" r="BQ198"/>
      <x:c t="inlineStr" r="BR198"/>
      <x:c t="inlineStr" r="BS198"/>
      <x:c t="inlineStr" r="BT198"/>
      <x:c t="inlineStr" r="BU198"/>
      <x:c t="inlineStr" r="BV198"/>
      <x:c t="inlineStr" r="BW198"/>
      <x:c t="inlineStr" r="BX198"/>
      <x:c t="inlineStr" r="BY198"/>
      <x:c t="inlineStr" r="BZ198">
        <x:is>
          <x:t>Ipiranga</x:t>
        </x:is>
      </x:c>
      <x:c t="inlineStr" r="CA198"/>
      <x:c t="inlineStr" r="CB198"/>
      <x:c t="inlineStr" r="CC198"/>
      <x:c t="inlineStr" r="CD198"/>
      <x:c t="inlineStr" r="CE198">
        <x:is>
          <x:t>Rock In Rio</x:t>
        </x:is>
      </x:c>
      <x:c t="inlineStr" r="CF198"/>
    </x:row>
    <x:row r="199">
      <x:c t="n" r="A199">
        <x:v>1015495859</x:v>
      </x:c>
      <x:c t="inlineStr" r="B199">
        <x:is>
          <x:t>04.08.2026</x:t>
        </x:is>
      </x:c>
      <x:c t="inlineStr" r="C199">
        <x:is>
          <x:t>18:41</x:t>
        </x:is>
      </x:c>
      <x:c t="inlineStr" r="D199">
        <x:is>
          <x:t>05.08.2026 19:26</x:t>
        </x:is>
      </x:c>
      <x:c t="inlineStr" r="E199">
        <x:is>
          <x:t/>
        </x:is>
      </x:c>
      <x:c t="str" r="F199">
        <x:v>O Rock in Rio Brasil 2026 está chegando e a Ipiranga vai te levar
até a Cidade do Rock!
A partir do dia 10/08, você poderá resgatar o seu lugar no transfer oficial
Ipiranga pelo app KMV.
Continue acumulando pontos e prepare-se pra embarcar.
Resgate no KMV e curta essa parada!
#Ipiranga #KMV #RocklnRioBrasil2026 #Transferlpiranga
#Parada Completa</x:v>
      </x:c>
      <x:c t="inlineStr" r="G199">
        <x:is>
          <x:t/>
        </x:is>
      </x:c>
      <x:c t="inlineStr" r="H199"/>
      <x:c t="inlineStr" r="I199">
        <x:is>
          <x:t>Postar</x:t>
        </x:is>
      </x:c>
      <x:c t="inlineStr" r="J199">
        <x:is>
          <x:t>Texto,Álbum,Imagem</x:t>
        </x:is>
      </x:c>
      <x:c t="inlineStr" r="K199"/>
      <x:c r="L199">
        <x:f>HYPERLINK("https://www.instagram.com/p/DbojX5BCdkI/")</x:f>
      </x:c>
      <x:c t="inlineStr" r="M199">
        <x:is>
          <x:t>Negativo</x:t>
        </x:is>
      </x:c>
      <x:c t="inlineStr" r="N199">
        <x:is>
          <x:t>Auto Posto Appaloosa</x:t>
        </x:is>
      </x:c>
      <x:c t="inlineStr" r="O199">
        <x:is>
          <x:t>appaloosamidia</x:t>
        </x:is>
      </x:c>
      <x:c r="P199">
        <x:f>HYPERLINK("http://instagram.com/appaloosamidia")</x:f>
      </x:c>
      <x:c t="n" r="Q199">
        <x:v>212</x:v>
      </x:c>
      <x:c t="inlineStr" r="R199">
        <x:is>
          <x:t>Homem</x:t>
        </x:is>
      </x:c>
      <x:c t="inlineStr" r="S199"/>
      <x:c t="inlineStr" r="T199">
        <x:is>
          <x:t>instagram.com</x:t>
        </x:is>
      </x:c>
      <x:c t="inlineStr" r="U199">
        <x:is>
          <x:t>Auto Posto Appaloosa</x:t>
        </x:is>
      </x:c>
      <x:c r="V199">
        <x:f>HYPERLINK("http://instagram.com/appaloosamidia")</x:f>
      </x:c>
      <x:c t="n" r="W199">
        <x:v>212</x:v>
      </x:c>
      <x:c t="inlineStr" r="X199"/>
      <x:c t="inlineStr" r="Y199">
        <x:is>
          <x:t>Rede social</x:t>
        </x:is>
      </x:c>
      <x:c t="inlineStr" r="Z199">
        <x:is>
          <x:t>Português</x:t>
        </x:is>
      </x:c>
      <x:c t="inlineStr" r="AA199"/>
      <x:c t="inlineStr" r="AB199"/>
      <x:c t="inlineStr" r="AC199"/>
      <x:c t="inlineStr" r="AD199"/>
      <x:c t="n" r="AE199">
        <x:v>5</x:v>
      </x:c>
      <x:c t="n" r="AF199">
        <x:v>5</x:v>
      </x:c>
      <x:c t="n" r="AG199">
        <x:v>5</x:v>
      </x:c>
      <x:c t="inlineStr" r="AH199"/>
      <x:c t="inlineStr" r="AI199"/>
      <x:c t="inlineStr" r="AJ199"/>
      <x:c t="inlineStr" r="AK199"/>
      <x:c t="inlineStr" r="AL199"/>
      <x:c t="inlineStr" r="AM199"/>
      <x:c t="inlineStr" r="AN199"/>
      <x:c t="n" r="AO199">
        <x:v>0</x:v>
      </x:c>
      <x:c t="inlineStr" r="AP199"/>
      <x:c t="inlineStr" r="AQ199"/>
      <x:c t="inlineStr" r="AR199"/>
      <x:c t="inlineStr" r="AS199"/>
      <x:c t="inlineStr" r="AT199"/>
      <x:c t="n" r="AU199">
        <x:v>212</x:v>
      </x:c>
      <x:c t="inlineStr" r="AV199"/>
      <x:c t="inlineStr" r="AW199">
        <x:is>
          <x:t>Ipiranga</x:t>
        </x:is>
      </x:c>
      <x:c t="inlineStr" r="AX199">
        <x:is>
          <x:t>text,lighting</x:t>
        </x:is>
      </x:c>
      <x:c t="inlineStr" r="AY199">
        <x:is>
          <x:t/>
        </x:is>
      </x:c>
      <x:c t="inlineStr" r="AZ199">
        <x:is>
          <x:t/>
        </x:is>
      </x:c>
      <x:c t="inlineStr" r="BA199">
        <x:is>
          <x:t/>
        </x:is>
      </x:c>
      <x:c t="inlineStr" r="BB199">
        <x:is>
          <x:t>ILLUSTRATION</x:t>
        </x:is>
      </x:c>
      <x:c t="inlineStr" r="BC199">
        <x:is>
          <x:t>advertising</x:t>
        </x:is>
      </x:c>
      <x:c t="inlineStr" r="BD199">
        <x:is>
          <x:t>https://scontent-ams2-1.cdninstagram.com/v/t51.82787-15/762631311_18075646181466319_4517060309983817800_n.jpg?stp=dst-jpg_e35_p1080x1080_tt6&amp;_nc_cat=100&amp;ig_cache_key=Mzk1NjU2NzgwMjA3MDI5OTU0NA%3D%3D.3-ccb7-5&amp;ccb=7-5&amp;_nc_sid=58cdad&amp;efg=eyJ2ZW5jb2RlX3RhZyI6IkNBUk9VU0VMX0lURU0ueHBpZHMuMTMyMC5zZHIucmVndWxhcl9waG90by5DMyJ9&amp;_nc_ohc=mYEH_pAMV0MQ7kNvwEoNuFk&amp;_nc_oc=AdoWhmvECkOEEc_VWNKqQMV2V65VK5NCw-48-FByIeG73xCLAHPNmPOQfVoUc5dhR9ue05iTu-bDNFOaUtPtGjDA&amp;_nc_zt=23&amp;_nc_ht=scontent-ams2-1.cdninstagram.com&amp;_nc_gid=ZEyZdHI_2NTMOiUzVlKclQ&amp;_nc_ss=70689&amp;oh=00_AQH8Qi5YH8KOwetDIm5ddRam4t5K-rYXpOLjT4w4wiZgVA&amp;oe=6A797152</x:t>
        </x:is>
      </x:c>
      <x:c t="inlineStr" r="BE199">
        <x:is>
          <x:t/>
        </x:is>
      </x:c>
      <x:c t="inlineStr" r="BF199">
        <x:is>
          <x:t>Não</x:t>
        </x:is>
      </x:c>
      <x:c t="inlineStr" r="BG199"/>
      <x:c t="inlineStr" r="BH199">
        <x:is>
          <x:t/>
        </x:is>
      </x:c>
      <x:c t="inlineStr" r="BI199">
        <x:is>
          <x:t>Promoção</x:t>
        </x:is>
      </x:c>
      <x:c t="inlineStr" r="BJ199"/>
      <x:c t="inlineStr" r="BK199">
        <x:is>
          <x:t>Campanha: Parada Completa,Ipiranga,App KMV,Rock In Rio</x:t>
        </x:is>
      </x:c>
      <x:c t="inlineStr" r="BL199"/>
      <x:c t="inlineStr" r="BM199"/>
      <x:c t="inlineStr" r="BN199"/>
      <x:c t="inlineStr" r="BO199"/>
      <x:c t="inlineStr" r="BP199"/>
      <x:c t="inlineStr" r="BQ199"/>
      <x:c t="inlineStr" r="BR199"/>
      <x:c t="inlineStr" r="BS199"/>
      <x:c t="inlineStr" r="BT199"/>
      <x:c t="inlineStr" r="BU199"/>
      <x:c t="inlineStr" r="BV199"/>
      <x:c t="inlineStr" r="BW199"/>
      <x:c t="inlineStr" r="BX199"/>
      <x:c t="inlineStr" r="BY199">
        <x:is>
          <x:t>Campanha: Parada Completa</x:t>
        </x:is>
      </x:c>
      <x:c t="inlineStr" r="BZ199">
        <x:is>
          <x:t>Ipiranga</x:t>
        </x:is>
      </x:c>
      <x:c t="inlineStr" r="CA199"/>
      <x:c t="inlineStr" r="CB199"/>
      <x:c t="inlineStr" r="CC199"/>
      <x:c t="inlineStr" r="CD199">
        <x:is>
          <x:t>App KMV</x:t>
        </x:is>
      </x:c>
      <x:c t="inlineStr" r="CE199">
        <x:is>
          <x:t>Rock In Rio</x:t>
        </x:is>
      </x:c>
      <x:c t="inlineStr" r="CF199"/>
    </x:row>
    <x:row r="200">
      <x:c t="n" r="A200">
        <x:v>2719364342</x:v>
      </x:c>
      <x:c t="inlineStr" r="B200">
        <x:is>
          <x:t>04.08.2026</x:t>
        </x:is>
      </x:c>
      <x:c t="inlineStr" r="C200">
        <x:is>
          <x:t>18:15</x:t>
        </x:is>
      </x:c>
      <x:c t="inlineStr" r="D200">
        <x:is>
          <x:t>04.08.2026 20:57</x:t>
        </x:is>
      </x:c>
      <x:c t="inlineStr" r="E200">
        <x:is>
          <x:t/>
        </x:is>
      </x:c>
      <x:c t="str" r="F200">
        <x:v>E como prometido, mais um conteúdo do rockinrio pra vocês! Dessa vez mostrando um pouquinho dos brindes que eu trouxe das outras edições do evento
(fica até o final pra ver o meu favorito! 👀) 
Pra quem não sabe, o evento tem MUITOS stands de várias marcas com brindes e ativações bem legais espalhados em todos os cantos da famosa Cidade do Rock. 
E sim, a maioria deles tem filas bem grandinhas, mas vale a pena! Por isso, eu repito: cheguem cedo e aproveitem ao máximo a experiência que o festival oferece pra gente! 
copos colecionáveis - itau 
porta copos - kitkatbrasil 
fita salva celular - ipiranga 
copo refil - 3coracoes 
copo edição especial - redbullbr</x:v>
      </x:c>
      <x:c t="inlineStr" r="G200">
        <x:is>
          <x:t/>
        </x:is>
      </x:c>
      <x:c t="inlineStr" r="H200"/>
      <x:c t="inlineStr" r="I200">
        <x:is>
          <x:t>Postar</x:t>
        </x:is>
      </x:c>
      <x:c t="inlineStr" r="J200">
        <x:is>
          <x:t>Texto,Vídeo</x:t>
        </x:is>
      </x:c>
      <x:c t="inlineStr" r="K200">
        <x:is>
          <x:t>InstagramReels</x:t>
        </x:is>
      </x:c>
      <x:c r="L200">
        <x:f>HYPERLINK("https://www.instagram.com/reel/Dboj00nhXwy/")</x:f>
      </x:c>
      <x:c t="inlineStr" r="M200">
        <x:is>
          <x:t>Negativo</x:t>
        </x:is>
      </x:c>
      <x:c t="inlineStr" r="N200">
        <x:is>
          <x:t>Nathália Yuna</x:t>
        </x:is>
      </x:c>
      <x:c t="inlineStr" r="O200">
        <x:is>
          <x:t>nathyyuna</x:t>
        </x:is>
      </x:c>
      <x:c r="P200">
        <x:f>HYPERLINK("https://www.instagram.com/nathyyuna/")</x:f>
      </x:c>
      <x:c t="n" r="Q200">
        <x:v>3974</x:v>
      </x:c>
      <x:c t="inlineStr" r="R200">
        <x:is>
          <x:t>Mulher</x:t>
        </x:is>
      </x:c>
      <x:c t="inlineStr" r="S200"/>
      <x:c t="inlineStr" r="T200">
        <x:is>
          <x:t>instagram.com</x:t>
        </x:is>
      </x:c>
      <x:c t="inlineStr" r="U200">
        <x:is>
          <x:t>Nathália Yuna</x:t>
        </x:is>
      </x:c>
      <x:c r="V200">
        <x:f>HYPERLINK("https://www.instagram.com/nathyyuna/")</x:f>
      </x:c>
      <x:c t="n" r="W200">
        <x:v>3974</x:v>
      </x:c>
      <x:c t="inlineStr" r="X200"/>
      <x:c t="inlineStr" r="Y200">
        <x:is>
          <x:t>Rede social</x:t>
        </x:is>
      </x:c>
      <x:c t="inlineStr" r="Z200">
        <x:is>
          <x:t>Português</x:t>
        </x:is>
      </x:c>
      <x:c t="inlineStr" r="AA200"/>
      <x:c t="inlineStr" r="AB200"/>
      <x:c t="inlineStr" r="AC200"/>
      <x:c t="inlineStr" r="AD200"/>
      <x:c t="n" r="AE200">
        <x:v>28</x:v>
      </x:c>
      <x:c t="n" r="AF200">
        <x:v>37</x:v>
      </x:c>
      <x:c t="n" r="AG200">
        <x:v>28</x:v>
      </x:c>
      <x:c t="inlineStr" r="AH200"/>
      <x:c t="inlineStr" r="AI200"/>
      <x:c t="inlineStr" r="AJ200"/>
      <x:c t="inlineStr" r="AK200"/>
      <x:c t="inlineStr" r="AL200"/>
      <x:c t="inlineStr" r="AM200"/>
      <x:c t="inlineStr" r="AN200"/>
      <x:c t="n" r="AO200">
        <x:v>8</x:v>
      </x:c>
      <x:c t="n" r="AP200">
        <x:v>1</x:v>
      </x:c>
      <x:c t="n" r="AQ200">
        <x:v>329</x:v>
      </x:c>
      <x:c t="inlineStr" r="AR200"/>
      <x:c t="inlineStr" r="AS200"/>
      <x:c t="inlineStr" r="AT200"/>
      <x:c t="n" r="AU200">
        <x:v>3974</x:v>
      </x:c>
      <x:c t="inlineStr" r="AV200"/>
      <x:c t="inlineStr" r="AW200"/>
      <x:c t="inlineStr" r="AX200"/>
      <x:c t="inlineStr" r="AY200"/>
      <x:c t="inlineStr" r="AZ200"/>
      <x:c t="inlineStr" r="BA200"/>
      <x:c t="inlineStr" r="BB200"/>
      <x:c t="inlineStr" r="BC200"/>
      <x:c t="inlineStr" r="BD200"/>
      <x:c t="inlineStr" r="BE200">
        <x:is>
          <x:t/>
        </x:is>
      </x:c>
      <x:c t="inlineStr" r="BF200">
        <x:is>
          <x:t>Não</x:t>
        </x:is>
      </x:c>
      <x:c t="inlineStr" r="BG200"/>
      <x:c t="inlineStr" r="BH200">
        <x:is>
          <x:t>Acontecimento</x:t>
        </x:is>
      </x:c>
      <x:c t="inlineStr" r="BI200">
        <x:is>
          <x:t>WOM,Opinião</x:t>
        </x:is>
      </x:c>
      <x:c t="inlineStr" r="BJ200"/>
      <x:c t="inlineStr" r="BK200">
        <x:is>
          <x:t>Ipiranga,Rock In Rio</x:t>
        </x:is>
      </x:c>
      <x:c t="inlineStr" r="BL200"/>
      <x:c t="inlineStr" r="BM200"/>
      <x:c t="inlineStr" r="BN200"/>
      <x:c t="inlineStr" r="BO200"/>
      <x:c t="inlineStr" r="BP200"/>
      <x:c t="inlineStr" r="BQ200"/>
      <x:c t="inlineStr" r="BR200"/>
      <x:c t="inlineStr" r="BS200"/>
      <x:c t="inlineStr" r="BT200"/>
      <x:c t="inlineStr" r="BU200"/>
      <x:c t="inlineStr" r="BV200"/>
      <x:c t="inlineStr" r="BW200"/>
      <x:c t="inlineStr" r="BX200"/>
      <x:c t="inlineStr" r="BY200"/>
      <x:c t="inlineStr" r="BZ200">
        <x:is>
          <x:t>Ipiranga</x:t>
        </x:is>
      </x:c>
      <x:c t="inlineStr" r="CA200"/>
      <x:c t="inlineStr" r="CB200"/>
      <x:c t="inlineStr" r="CC200"/>
      <x:c t="inlineStr" r="CD200"/>
      <x:c t="inlineStr" r="CE200">
        <x:is>
          <x:t>Rock In Rio</x:t>
        </x:is>
      </x:c>
      <x:c t="inlineStr" r="CF200"/>
    </x:row>
    <x:row r="201">
      <x:c t="n" r="A201">
        <x:v>3315447761</x:v>
      </x:c>
      <x:c t="inlineStr" r="B201">
        <x:is>
          <x:t>04.08.2026</x:t>
        </x:is>
      </x:c>
      <x:c t="inlineStr" r="C201">
        <x:is>
          <x:t>13:30</x:t>
        </x:is>
      </x:c>
      <x:c t="inlineStr" r="D201">
        <x:is>
          <x:t>19.08.2026 17:17</x:t>
        </x:is>
      </x:c>
      <x:c t="inlineStr" r="E201">
        <x:is>
          <x:t/>
        </x:is>
      </x:c>
      <x:c t="str" r="F201">
        <x:v>Rock in Rio: empresas sorteiam ingressos para o festival de música; veja como concorrer http://dlvr.it/TTs1Xh
Promoções de iFood, Natura e TIM distribuem entradas, pacotes com viagem e experiências VIP para o festival de setembro. Itaú e Ipiranga oferecem formas de pagar mais barato</x:v>
      </x:c>
      <x:c t="inlineStr" r="G201">
        <x:is>
          <x:t/>
        </x:is>
      </x:c>
      <x:c t="inlineStr" r="H201"/>
      <x:c t="inlineStr" r="I201">
        <x:is>
          <x:t>Postar</x:t>
        </x:is>
      </x:c>
      <x:c t="inlineStr" r="J201">
        <x:is>
          <x:t>Link,Texto</x:t>
        </x:is>
      </x:c>
      <x:c t="inlineStr" r="K201"/>
      <x:c r="L201">
        <x:f>HYPERLINK("https://x.com/jornalextra/status/2084678345644753263")</x:f>
      </x:c>
      <x:c t="inlineStr" r="M201">
        <x:is>
          <x:t>Negativo</x:t>
        </x:is>
      </x:c>
      <x:c t="inlineStr" r="N201">
        <x:is>
          <x:t>Jornal Extra</x:t>
        </x:is>
      </x:c>
      <x:c t="inlineStr" r="O201">
        <x:is>
          <x:t>jornalextra</x:t>
        </x:is>
      </x:c>
      <x:c r="P201">
        <x:f>HYPERLINK("http://x.com/jornalextra")</x:f>
      </x:c>
      <x:c t="n" r="Q201">
        <x:v>1098832</x:v>
      </x:c>
      <x:c t="inlineStr" r="R201"/>
      <x:c t="inlineStr" r="S201"/>
      <x:c t="inlineStr" r="T201">
        <x:is>
          <x:t>x.com</x:t>
        </x:is>
      </x:c>
      <x:c t="inlineStr" r="U201"/>
      <x:c t="inlineStr" r="V201"/>
      <x:c t="inlineStr" r="W201"/>
      <x:c t="inlineStr" r="X201"/>
      <x:c t="inlineStr" r="Y201">
        <x:is>
          <x:t>Rede social</x:t>
        </x:is>
      </x:c>
      <x:c t="inlineStr" r="Z201">
        <x:is>
          <x:t>Português</x:t>
        </x:is>
      </x:c>
      <x:c t="inlineStr" r="AA201">
        <x:is>
          <x:t>Brasil</x:t>
        </x:is>
      </x:c>
      <x:c t="inlineStr" r="AB201"/>
      <x:c t="inlineStr" r="AC201"/>
      <x:c t="inlineStr" r="AD201"/>
      <x:c t="n" r="AE201">
        <x:v>5</x:v>
      </x:c>
      <x:c t="n" r="AF201">
        <x:v>5</x:v>
      </x:c>
      <x:c t="n" r="AG201">
        <x:v>5</x:v>
      </x:c>
      <x:c t="inlineStr" r="AH201"/>
      <x:c t="inlineStr" r="AI201"/>
      <x:c t="inlineStr" r="AJ201"/>
      <x:c t="inlineStr" r="AK201"/>
      <x:c t="inlineStr" r="AL201"/>
      <x:c t="inlineStr" r="AM201"/>
      <x:c t="inlineStr" r="AN201"/>
      <x:c t="inlineStr" r="AO201"/>
      <x:c t="inlineStr" r="AP201"/>
      <x:c t="n" r="AQ201">
        <x:v>3046</x:v>
      </x:c>
      <x:c t="inlineStr" r="AR201"/>
      <x:c t="inlineStr" r="AS201"/>
      <x:c t="inlineStr" r="AT201"/>
      <x:c t="n" r="AU201">
        <x:v>1098832</x:v>
      </x:c>
      <x:c t="inlineStr" r="AV201"/>
      <x:c t="inlineStr" r="AW201">
        <x:is>
          <x:t>iFood</x:t>
        </x:is>
      </x:c>
      <x:c t="inlineStr" r="AX201"/>
      <x:c t="inlineStr" r="AY201"/>
      <x:c t="inlineStr" r="AZ201">
        <x:is>
          <x:t>man,woman</x:t>
        </x:is>
      </x:c>
      <x:c t="inlineStr" r="BA201"/>
      <x:c t="inlineStr" r="BB201">
        <x:is>
          <x:t>PHOTO</x:t>
        </x:is>
      </x:c>
      <x:c t="inlineStr" r="BC201"/>
      <x:c r="BD201">
        <x:f>HYPERLINK("https://pbs.twimg.com/card_img/2084678358588375042/buSyMXZX?format=jpg&amp;name=orig")</x:f>
      </x:c>
      <x:c t="inlineStr" r="BE201">
        <x:is>
          <x:t/>
        </x:is>
      </x:c>
      <x:c t="inlineStr" r="BF201">
        <x:is>
          <x:t>Não</x:t>
        </x:is>
      </x:c>
      <x:c t="inlineStr" r="BG201"/>
      <x:c t="inlineStr" r="BH201">
        <x:is>
          <x:t/>
        </x:is>
      </x:c>
      <x:c t="inlineStr" r="BI201">
        <x:is>
          <x:t>Promoção</x:t>
        </x:is>
      </x:c>
      <x:c t="inlineStr" r="BJ201"/>
      <x:c t="inlineStr" r="BK201">
        <x:is>
          <x:t>Ipiranga,Rock In Rio</x:t>
        </x:is>
      </x:c>
      <x:c t="inlineStr" r="BL201"/>
      <x:c t="inlineStr" r="BM201"/>
      <x:c t="inlineStr" r="BN201"/>
      <x:c t="inlineStr" r="BO201"/>
      <x:c t="inlineStr" r="BP201"/>
      <x:c t="inlineStr" r="BQ201"/>
      <x:c t="inlineStr" r="BR201"/>
      <x:c t="inlineStr" r="BS201"/>
      <x:c t="inlineStr" r="BT201"/>
      <x:c t="inlineStr" r="BU201"/>
      <x:c t="inlineStr" r="BV201"/>
      <x:c t="inlineStr" r="BW201"/>
      <x:c t="inlineStr" r="BX201"/>
      <x:c t="inlineStr" r="BY201"/>
      <x:c t="inlineStr" r="BZ201">
        <x:is>
          <x:t>Ipiranga</x:t>
        </x:is>
      </x:c>
      <x:c t="inlineStr" r="CA201"/>
      <x:c t="inlineStr" r="CB201"/>
      <x:c t="inlineStr" r="CC201"/>
      <x:c t="inlineStr" r="CD201"/>
      <x:c t="inlineStr" r="CE201">
        <x:is>
          <x:t>Rock In Rio</x:t>
        </x:is>
      </x:c>
      <x:c t="inlineStr" r="CF201"/>
    </x:row>
    <x:row r="202">
      <x:c t="n" r="A202">
        <x:v>842928841</x:v>
      </x:c>
      <x:c t="inlineStr" r="B202">
        <x:is>
          <x:t>04.08.2026</x:t>
        </x:is>
      </x:c>
      <x:c t="inlineStr" r="C202">
        <x:is>
          <x:t>09:20</x:t>
        </x:is>
      </x:c>
      <x:c t="inlineStr" r="D202">
        <x:is>
          <x:t>06.08.2026 20:04</x:t>
        </x:is>
      </x:c>
      <x:c t="inlineStr" r="E202">
        <x:is>
          <x:t/>
        </x:is>
      </x:c>
      <x:c t="str" r="F202">
        <x:v>👉A sua terça-feira rende muito mais vantagens nos postos Ipiranga da Rede Rizzotto! ⛽💸 
👉Se você quer encher o tanque com gasolina de alta qualidade e ainda garantir dinheiro de volta, a hora é agora.  🙌🤝⛽️
👉Abastecendo com a Gasolina Aditivada Ipimax e usando o aplicativo KMV, você destrava benefícios pesados:
⛽️Troque 700 pontos por 8% de cashback na hora!
💸Garanta descontos exclusivos no valor do seu abastecimento.
👉Concorra a prêmios incríveis: vales-combustível, carros, motos, viagens e até ingressos para o Rock in Rio! 🎸🚗
👉Não deixe para a última hora, porque essa chance imperdível termina no dia 17 de agosto! ✅🚗
👉Passe em uma de nossas unidades, receba nosso atendimento de excelência e aproveite a promoção com a Qualidade e Confiança que você já conhece. 🚗💨✨
#rederizzotto #postodegasolina #promoção #ararangua</x:v>
      </x:c>
      <x:c t="inlineStr" r="G202">
        <x:is>
          <x:t/>
        </x:is>
      </x:c>
      <x:c t="inlineStr" r="H202"/>
      <x:c t="inlineStr" r="I202">
        <x:is>
          <x:t>Postar</x:t>
        </x:is>
      </x:c>
      <x:c t="inlineStr" r="J202">
        <x:is>
          <x:t>Texto,Vídeo</x:t>
        </x:is>
      </x:c>
      <x:c t="inlineStr" r="K202">
        <x:is>
          <x:t>FacebookReels</x:t>
        </x:is>
      </x:c>
      <x:c r="L202">
        <x:f>HYPERLINK("https://www.facebook.com/1692389272894427")</x:f>
      </x:c>
      <x:c t="inlineStr" r="M202">
        <x:is>
          <x:t>Negativo</x:t>
        </x:is>
      </x:c>
      <x:c t="inlineStr" r="N202">
        <x:is>
          <x:t>Postos Rizzotto</x:t>
        </x:is>
      </x:c>
      <x:c t="inlineStr" r="O202"/>
      <x:c r="P202">
        <x:f>HYPERLINK("https://www.facebook.com/716663688453243")</x:f>
      </x:c>
      <x:c t="n" r="Q202">
        <x:v>10135</x:v>
      </x:c>
      <x:c t="inlineStr" r="R202">
        <x:is>
          <x:t>Comunidade</x:t>
        </x:is>
      </x:c>
      <x:c t="inlineStr" r="S202"/>
      <x:c t="inlineStr" r="T202">
        <x:is>
          <x:t>facebook.com</x:t>
        </x:is>
      </x:c>
      <x:c t="inlineStr" r="U202">
        <x:is>
          <x:t>Postos Rizzotto</x:t>
        </x:is>
      </x:c>
      <x:c r="V202">
        <x:f>HYPERLINK("https://www.facebook.com/716663688453243")</x:f>
      </x:c>
      <x:c t="n" r="W202">
        <x:v>10135</x:v>
      </x:c>
      <x:c t="inlineStr" r="X202"/>
      <x:c t="inlineStr" r="Y202">
        <x:is>
          <x:t>Rede social</x:t>
        </x:is>
      </x:c>
      <x:c t="inlineStr" r="Z202">
        <x:is>
          <x:t>Português</x:t>
        </x:is>
      </x:c>
      <x:c t="inlineStr" r="AA202">
        <x:is>
          <x:t>Brasil</x:t>
        </x:is>
      </x:c>
      <x:c t="inlineStr" r="AB202"/>
      <x:c t="inlineStr" r="AC202"/>
      <x:c t="inlineStr" r="AD202"/>
      <x:c t="n" r="AE202">
        <x:v>3</x:v>
      </x:c>
      <x:c t="n" r="AF202">
        <x:v>3</x:v>
      </x:c>
      <x:c t="n" r="AG202">
        <x:v>3</x:v>
      </x:c>
      <x:c t="inlineStr" r="AH202"/>
      <x:c t="inlineStr" r="AI202"/>
      <x:c t="inlineStr" r="AJ202"/>
      <x:c t="inlineStr" r="AK202"/>
      <x:c t="inlineStr" r="AL202"/>
      <x:c t="inlineStr" r="AM202"/>
      <x:c t="inlineStr" r="AN202"/>
      <x:c t="n" r="AO202">
        <x:v>0</x:v>
      </x:c>
      <x:c t="inlineStr" r="AP202"/>
      <x:c t="n" r="AQ202">
        <x:v>91</x:v>
      </x:c>
      <x:c t="inlineStr" r="AR202"/>
      <x:c t="inlineStr" r="AS202"/>
      <x:c t="inlineStr" r="AT202"/>
      <x:c t="n" r="AU202">
        <x:v>10135</x:v>
      </x:c>
      <x:c t="inlineStr" r="AV202"/>
      <x:c t="inlineStr" r="AW202">
        <x:is>
          <x:t/>
        </x:is>
      </x:c>
      <x:c t="inlineStr" r="AX202">
        <x:is>
          <x:t>clothing,text,shirt</x:t>
        </x:is>
      </x:c>
      <x:c t="inlineStr" r="AY202">
        <x:is>
          <x:t/>
        </x:is>
      </x:c>
      <x:c t="inlineStr" r="AZ202">
        <x:is>
          <x:t/>
        </x:is>
      </x:c>
      <x:c t="inlineStr" r="BA202">
        <x:is>
          <x:t/>
        </x:is>
      </x:c>
      <x:c t="inlineStr" r="BB202">
        <x:is>
          <x:t>ILLUSTRATION</x:t>
        </x:is>
      </x:c>
      <x:c t="inlineStr" r="BC202">
        <x:is>
          <x:t>advertising</x:t>
        </x:is>
      </x:c>
      <x:c t="inlineStr" r="BD202">
        <x:is>
          <x:t>https://scontent.fdtb1-2.fna.fbcdn.net/v/t51.82787-10/764581505_18334510807249183_2020288369470289439_n.jpg?stp=dst-jpg_tt6&amp;cstp=mx1080x1920&amp;ctp=p565x565&amp;_nc_cat=105&amp;ccb=1-7&amp;_nc_sid=5fad0e&amp;_nc_ohc=ri4C40L7JQkQ7kNvwGqBZcU&amp;_nc_oc=AdqwExeRSi40XOa2Moi-q6I6KRo6t2_S9CcnGOLaUmEKP7cOLYcK1D3o5Dd5seFU4ILZpLZaH85G1zzvkH86C0nR&amp;_nc_zt=23&amp;_nc_ht=scontent.fdtb1-2.fna&amp;_nc_gid=jB6pjqBhQ6Jyrz5ar0kFSw&amp;_nc_ss=70100&amp;oh=00_AQGWvdYnkZzbGBLsy_YfaVyVqO8RZ2cvhb5X361gPURBaw&amp;oe=6A7AFCF5</x:t>
        </x:is>
      </x:c>
      <x:c t="inlineStr" r="BE202">
        <x:is>
          <x:t/>
        </x:is>
      </x:c>
      <x:c t="inlineStr" r="BF202">
        <x:is>
          <x:t>Não</x:t>
        </x:is>
      </x:c>
      <x:c t="inlineStr" r="BG202"/>
      <x:c t="inlineStr" r="BH202">
        <x:is>
          <x:t/>
        </x:is>
      </x:c>
      <x:c t="inlineStr" r="BI202">
        <x:is>
          <x:t>Comércio</x:t>
        </x:is>
      </x:c>
      <x:c t="inlineStr" r="BJ202"/>
      <x:c t="inlineStr" r="BK202">
        <x:is>
          <x:t>Ipimax,Ipiranga,App KMV,Rock In Rio</x:t>
        </x:is>
      </x:c>
      <x:c t="inlineStr" r="BL202"/>
      <x:c t="inlineStr" r="BM202"/>
      <x:c t="inlineStr" r="BN202"/>
      <x:c t="inlineStr" r="BO202"/>
      <x:c t="inlineStr" r="BP202"/>
      <x:c t="inlineStr" r="BQ202"/>
      <x:c t="inlineStr" r="BR202"/>
      <x:c t="inlineStr" r="BS202"/>
      <x:c t="inlineStr" r="BT202"/>
      <x:c t="inlineStr" r="BU202"/>
      <x:c t="inlineStr" r="BV202"/>
      <x:c t="inlineStr" r="BW202">
        <x:is>
          <x:t>Ipimax</x:t>
        </x:is>
      </x:c>
      <x:c t="inlineStr" r="BX202"/>
      <x:c t="inlineStr" r="BY202"/>
      <x:c t="inlineStr" r="BZ202">
        <x:is>
          <x:t>Ipiranga</x:t>
        </x:is>
      </x:c>
      <x:c t="inlineStr" r="CA202"/>
      <x:c t="inlineStr" r="CB202"/>
      <x:c t="inlineStr" r="CC202"/>
      <x:c t="inlineStr" r="CD202">
        <x:is>
          <x:t>App KMV</x:t>
        </x:is>
      </x:c>
      <x:c t="inlineStr" r="CE202">
        <x:is>
          <x:t>Rock In Rio</x:t>
        </x:is>
      </x:c>
      <x:c t="inlineStr" r="CF202"/>
    </x:row>
    <x:row r="203">
      <x:c t="n" r="A203">
        <x:v>2194731482</x:v>
      </x:c>
      <x:c t="inlineStr" r="B203">
        <x:is>
          <x:t>04.08.2026</x:t>
        </x:is>
      </x:c>
      <x:c t="inlineStr" r="C203">
        <x:is>
          <x:t>09:20</x:t>
        </x:is>
      </x:c>
      <x:c t="inlineStr" r="D203">
        <x:is>
          <x:t>05.08.2026 01:13</x:t>
        </x:is>
      </x:c>
      <x:c t="inlineStr" r="E203">
        <x:is>
          <x:t/>
        </x:is>
      </x:c>
      <x:c t="str" r="F203">
        <x:v>👉A sua terça-feira rende muito mais vantagens nos postos Ipiranga da Rede Rizzotto! ⛽💸 
👉Se você quer encher o tanque com gasolina de alta qualidade e ainda garantir dinheiro de volta, a hora é agora.  🙌🤝⛽️
👉Abastecendo com a Gasolina Aditivada Ipimax e usando o aplicativo KMV, você destrava benefícios pesados:
⛽️Troque 700 pontos por 8% de cashback na hora!
💸Garanta descontos exclusivos no valor do seu abastecimento.
👉Concorra a prêmios incríveis: vales-combustível, carros, motos, viagens e até ingressos para o Rock in Rio! 🎸🚗
👉Não deixe para a última hora, porque essa chance imperdível termina no dia 17 de agosto! ✅🚗
👉Passe em uma de nossas unidades, receba nosso atendimento de excelência e aproveite a promoção com a Qualidade e Confiança que você já conhece. 🚗💨✨
#rederizzotto #postodegasolina #promoção #ararangua</x:v>
      </x:c>
      <x:c t="inlineStr" r="G203">
        <x:is>
          <x:t/>
        </x:is>
      </x:c>
      <x:c t="inlineStr" r="H203"/>
      <x:c t="inlineStr" r="I203">
        <x:is>
          <x:t>Postar</x:t>
        </x:is>
      </x:c>
      <x:c t="inlineStr" r="J203">
        <x:is>
          <x:t>Texto,Vídeo</x:t>
        </x:is>
      </x:c>
      <x:c t="inlineStr" r="K203"/>
      <x:c r="L203">
        <x:f>HYPERLINK("https://www.instagram.com/p/Dbnij3pOE3o/")</x:f>
      </x:c>
      <x:c t="inlineStr" r="M203">
        <x:is>
          <x:t>Negativo</x:t>
        </x:is>
      </x:c>
      <x:c t="inlineStr" r="N203">
        <x:is>
          <x:t>Postos Rizzotto</x:t>
        </x:is>
      </x:c>
      <x:c t="inlineStr" r="O203">
        <x:is>
          <x:t>rederizzotto</x:t>
        </x:is>
      </x:c>
      <x:c r="P203">
        <x:f>HYPERLINK("http://instagram.com/rederizzotto")</x:f>
      </x:c>
      <x:c t="n" r="Q203">
        <x:v>7873</x:v>
      </x:c>
      <x:c t="inlineStr" r="R203">
        <x:is>
          <x:t>Comunidade</x:t>
        </x:is>
      </x:c>
      <x:c t="inlineStr" r="S203"/>
      <x:c t="inlineStr" r="T203">
        <x:is>
          <x:t>instagram.com</x:t>
        </x:is>
      </x:c>
      <x:c t="inlineStr" r="U203">
        <x:is>
          <x:t>Postos Rizzotto</x:t>
        </x:is>
      </x:c>
      <x:c r="V203">
        <x:f>HYPERLINK("http://instagram.com/rederizzotto")</x:f>
      </x:c>
      <x:c t="n" r="W203">
        <x:v>7873</x:v>
      </x:c>
      <x:c t="inlineStr" r="X203"/>
      <x:c t="inlineStr" r="Y203">
        <x:is>
          <x:t>Rede social</x:t>
        </x:is>
      </x:c>
      <x:c t="inlineStr" r="Z203">
        <x:is>
          <x:t>Português</x:t>
        </x:is>
      </x:c>
      <x:c t="inlineStr" r="AA203"/>
      <x:c t="inlineStr" r="AB203"/>
      <x:c t="inlineStr" r="AC203"/>
      <x:c t="inlineStr" r="AD203"/>
      <x:c t="n" r="AE203">
        <x:v>25</x:v>
      </x:c>
      <x:c t="n" r="AF203">
        <x:v>25</x:v>
      </x:c>
      <x:c t="n" r="AG203">
        <x:v>25</x:v>
      </x:c>
      <x:c t="inlineStr" r="AH203"/>
      <x:c t="inlineStr" r="AI203"/>
      <x:c t="inlineStr" r="AJ203"/>
      <x:c t="inlineStr" r="AK203"/>
      <x:c t="inlineStr" r="AL203"/>
      <x:c t="inlineStr" r="AM203"/>
      <x:c t="inlineStr" r="AN203"/>
      <x:c t="n" r="AO203">
        <x:v>0</x:v>
      </x:c>
      <x:c t="inlineStr" r="AP203"/>
      <x:c t="inlineStr" r="AQ203"/>
      <x:c t="inlineStr" r="AR203"/>
      <x:c t="inlineStr" r="AS203"/>
      <x:c t="inlineStr" r="AT203"/>
      <x:c t="n" r="AU203">
        <x:v>7873</x:v>
      </x:c>
      <x:c t="inlineStr" r="AV203"/>
      <x:c t="inlineStr" r="AW203">
        <x:is>
          <x:t/>
        </x:is>
      </x:c>
      <x:c t="inlineStr" r="AX203">
        <x:is>
          <x:t>clothing,text,shirt</x:t>
        </x:is>
      </x:c>
      <x:c t="inlineStr" r="AY203">
        <x:is>
          <x:t/>
        </x:is>
      </x:c>
      <x:c t="inlineStr" r="AZ203">
        <x:is>
          <x:t>man</x:t>
        </x:is>
      </x:c>
      <x:c t="inlineStr" r="BA203">
        <x:is>
          <x:t/>
        </x:is>
      </x:c>
      <x:c t="inlineStr" r="BB203">
        <x:is>
          <x:t>ILLUSTRATION</x:t>
        </x:is>
      </x:c>
      <x:c t="inlineStr" r="BC203">
        <x:is>
          <x:t>advertising</x:t>
        </x:is>
      </x:c>
      <x:c t="inlineStr" r="BD203">
        <x:is>
          <x:t>https://scontent-iad3-2.cdninstagram.com/v/t51.82787-15/764581505_18334510807249183_2020288369470289439_n.jpg?stp=dst-jpg_e15_tt6&amp;_nc_cat=105&amp;ig_cache_key=Mzk1NjI4Mjc5NjE3ODY4OTUxMjE4MzM0NTEwODA0MjQ5MTgz.3-ccb7-5&amp;ccb=7-5&amp;_nc_sid=58cdad&amp;efg=eyJ2ZW5jb2RlX3RhZyI6IkNMSVBTLnhwaWRzLjEwODAuc2RyLnZpZGVvX2RlZmF1bHRfY292ZXJfZnJhbWUuQzMifQ%3D%3D&amp;_nc_ohc=ri4C40L7JQkQ7kNvwG1Y_yU&amp;_nc_oc=AdpZ8Fi13QTNFhQGszfpLuI7vBFaGwrnm17bTBiXZI_24oKbWzINer7wlORYv6cR0neN58R5b_8wO96_U5sygBU7&amp;_nc_zt=23&amp;_nc_ht=scontent-iad3-2.cdninstagram.com&amp;_nc_gid=ni5pQ61WguEijTtwg9DwGA&amp;_nc_ss=70689&amp;oh=00_AQEmRPnYx4hk3IixGE-AHhVYWDg4DeHO1MGGpki2ku8XQA&amp;oe=6A789625</x:t>
        </x:is>
      </x:c>
      <x:c t="inlineStr" r="BE203">
        <x:is>
          <x:t/>
        </x:is>
      </x:c>
      <x:c t="inlineStr" r="BF203">
        <x:is>
          <x:t>Não</x:t>
        </x:is>
      </x:c>
      <x:c t="inlineStr" r="BG203"/>
      <x:c t="inlineStr" r="BH203">
        <x:is>
          <x:t/>
        </x:is>
      </x:c>
      <x:c t="inlineStr" r="BI203">
        <x:is>
          <x:t>Comércio</x:t>
        </x:is>
      </x:c>
      <x:c t="inlineStr" r="BJ203"/>
      <x:c t="inlineStr" r="BK203">
        <x:is>
          <x:t>Ipimax,Ipiranga,App KMV,Rock In Rio</x:t>
        </x:is>
      </x:c>
      <x:c t="inlineStr" r="BL203"/>
      <x:c t="inlineStr" r="BM203"/>
      <x:c t="inlineStr" r="BN203"/>
      <x:c t="inlineStr" r="BO203"/>
      <x:c t="inlineStr" r="BP203"/>
      <x:c t="inlineStr" r="BQ203"/>
      <x:c t="inlineStr" r="BR203"/>
      <x:c t="inlineStr" r="BS203"/>
      <x:c t="inlineStr" r="BT203"/>
      <x:c t="inlineStr" r="BU203"/>
      <x:c t="inlineStr" r="BV203"/>
      <x:c t="inlineStr" r="BW203">
        <x:is>
          <x:t>Ipimax</x:t>
        </x:is>
      </x:c>
      <x:c t="inlineStr" r="BX203"/>
      <x:c t="inlineStr" r="BY203"/>
      <x:c t="inlineStr" r="BZ203">
        <x:is>
          <x:t>Ipiranga</x:t>
        </x:is>
      </x:c>
      <x:c t="inlineStr" r="CA203"/>
      <x:c t="inlineStr" r="CB203"/>
      <x:c t="inlineStr" r="CC203"/>
      <x:c t="inlineStr" r="CD203">
        <x:is>
          <x:t>App KMV</x:t>
        </x:is>
      </x:c>
      <x:c t="inlineStr" r="CE203">
        <x:is>
          <x:t>Rock In Rio</x:t>
        </x:is>
      </x:c>
      <x:c t="inlineStr" r="CF203"/>
    </x:row>
    <x:row r="204">
      <x:c t="n" r="A204">
        <x:v>716365403</x:v>
      </x:c>
      <x:c t="inlineStr" r="B204">
        <x:is>
          <x:t>04.08.2026</x:t>
        </x:is>
      </x:c>
      <x:c t="inlineStr" r="C204">
        <x:is>
          <x:t>07:33</x:t>
        </x:is>
      </x:c>
      <x:c t="inlineStr" r="D204">
        <x:is>
          <x:t>04.08.2026 08:56</x:t>
        </x:is>
      </x:c>
      <x:c t="inlineStr" r="E204">
        <x:is>
          <x:t/>
        </x:is>
      </x:c>
      <x:c t="str" r="F204">
        <x:v>Rock in Rio: empresas sorteiam ingressos para o festival de música; veja como concorrer   .
Rock in Rio: empresas sorteiam ingressos para o festival de música; veja como concorrer
A pouco mais de um mês do Rock in Rio 2026 — que acontece em setembro, na Cidade do Rock, em Jacarepaguá —, empresas patrocinadoras do festival abriram promoções que sorteiam ingressos para o evento. Ao todo, pelo menos 88 ingressos — 44 pares — serão sorteados em ações com inscrição ainda aberta. Há também caminhos para pagar menos usando cartão ou pontos de fidelidade. Veja abaixo o que cada empresa está oferecendo e como participar.
Novo modelo de farmácia: Raia e Drogasil apostam em lojas focadas em perfumes e produtos de beleza
Dia dos Pais: veja cuidados para não cair em golpes ao comprar presentes
Patrocinador oficial do festival, o iFood tem a promoção com o maior número de entradas em jogo. A campanha "iFood é Tudo Pra Mim no Rock in Rio" sorteia 40 pares de ingressos, divididos em três tipos:
Pares para a área VIP com passagens aéreas e hospedagem;
Pares só para a área VIP sem hospedagem;
Pares para a pista (gramado).
Para participar, é preciso se cadastrar na aba da promoção dentro do aplicativo e fazer pedidos em qualquer categoria — restaurante, mercado, farmácia, pet ou shopping. Veja abaixo o passo a passo:
Abra o app do iFood;
Clique no ícone “Ver Mais” no alto da tela
Em “Destaques do iFood”, selecione “Rock In Rio”
Na tela seguinte, clique no botão “Cadastrar e Concorrer”
Preencha seus dados e comece a concorrer.
Cada compra gera um número da sorte. Assinantes do Clube iFood recebem o dobro de chances. É possível se cadastrar até 18 de agosto. Já os sorteios acontecem nos dias 5, 12 e 19 deste mês.
Natura: experiência VIP com tudo pago
Campanha da Natura para o Rock in Rio 2026 sorteia quatro pacotes VIP com tudo pago
Divulgação/Natura
Pela primeira vez, a Natura fará uma promoção nacional ligada ao festival. Serão contemplados quatro pessoas, cada um com direito a acompanhante e pacote completo, com passagens aéreas, hospedagem, traslado e kit de produtos da marca.
As inscrições vão até terça-feira (dia 4) por meio do site naturanorockinrio.com.br. Os participantes, apenas maiores de 18 anos, precisam cumprir três missões criativas. Cada uma vale um número da sorte. 
Dá para somar números extras cadastrando compras de produtos Natura, compartilhando o site da marca nas redes sociais ou incluindo o código de uma Consultora de Beleza. O sorteio vai acontecer no dia 8 de agosto.
Sorteio e resgate de ingressos na Tim
A TIM oferece duas formas de ir ao festival, ambas pelo programa de relacionamento TIM Mais, dentro do app Meu TIM. A primeira é um sorteio aberto a clientes de todas as categorias. A cada dia, o cliente resgata um número da sorte e concorre a ingressos e, em alguns casos, a pacotes com passagem e hospedagem. Quem participou das ativações presenciais "Dado da Sorte" em lojas selecionadas ganha números extras.
A segunda forma é resgate direto, disponível apenas para clientes dos níveis 4 e 5 do TIM Mais, os mais altos do programa. Esses clientes podem retirar pares de ingressos e convites para o espaço da TIM no festival diretamente na plataforma, enquanto houver disponibilidade. A empresa não divulgou quantos ingressos serão distribuídos.
Como pagar mais barato
Para quem vai comprar o ingresso, ainda há como reduzir o valor. Clientes que pagam com cartão de crédito do Itaú têm 15% de desconto na compra, benefício não cumulativo com a meia-entrada e parcelável em até 8 vezes sem juros.
Já a Ipiranga permite abater parte do preço com pontos. Pelo aplicativo do KMV, o programa de fidelidade da rede, o cliente pode resgatar um ingresso de gramado combinando dinheiro e 400 pontos acumulados, enquanto houver estoque.
http://dlvr.it/TTrK7Q</x:v>
      </x:c>
      <x:c t="inlineStr" r="G204">
        <x:is>
          <x:t/>
        </x:is>
      </x:c>
      <x:c t="inlineStr" r="H204"/>
      <x:c t="inlineStr" r="I204">
        <x:is>
          <x:t>Repost</x:t>
        </x:is>
      </x:c>
      <x:c t="inlineStr" r="J204">
        <x:is>
          <x:t>Texto,Link</x:t>
        </x:is>
      </x:c>
      <x:c t="inlineStr" r="K204"/>
      <x:c r="L204">
        <x:f>HYPERLINK("https://bsky.app/profile/jornal-extra.bsky.social/post/3ms7lduzb242e")</x:f>
      </x:c>
      <x:c t="inlineStr" r="M204">
        <x:is>
          <x:t>Negativo</x:t>
        </x:is>
      </x:c>
      <x:c t="inlineStr" r="N204">
        <x:is>
          <x:t>Roberto </x:t>
        </x:is>
      </x:c>
      <x:c t="inlineStr" r="O204">
        <x:is>
          <x:t>robertoepay.bsky.social</x:t>
        </x:is>
      </x:c>
      <x:c r="P204">
        <x:f>HYPERLINK("https://bsky.app/profile/robertoepay.bsky.social")</x:f>
      </x:c>
      <x:c t="n" r="Q204">
        <x:v>1375</x:v>
      </x:c>
      <x:c t="inlineStr" r="R204">
        <x:is>
          <x:t>Homem</x:t>
        </x:is>
      </x:c>
      <x:c t="inlineStr" r="S204"/>
      <x:c t="inlineStr" r="T204">
        <x:is>
          <x:t>bsky.app</x:t>
        </x:is>
      </x:c>
      <x:c t="inlineStr" r="U204"/>
      <x:c t="inlineStr" r="V204"/>
      <x:c t="inlineStr" r="W204"/>
      <x:c t="inlineStr" r="X204"/>
      <x:c t="inlineStr" r="Y204">
        <x:is>
          <x:t>Rede social</x:t>
        </x:is>
      </x:c>
      <x:c t="inlineStr" r="Z204">
        <x:is>
          <x:t>Português</x:t>
        </x:is>
      </x:c>
      <x:c t="inlineStr" r="AA204"/>
      <x:c t="inlineStr" r="AB204"/>
      <x:c t="inlineStr" r="AC204"/>
      <x:c t="inlineStr" r="AD204"/>
      <x:c t="inlineStr" r="AE204"/>
      <x:c t="inlineStr" r="AF204"/>
      <x:c t="inlineStr" r="AG204"/>
      <x:c t="inlineStr" r="AH204"/>
      <x:c t="inlineStr" r="AI204"/>
      <x:c t="inlineStr" r="AJ204"/>
      <x:c t="inlineStr" r="AK204"/>
      <x:c t="inlineStr" r="AL204"/>
      <x:c t="inlineStr" r="AM204"/>
      <x:c t="inlineStr" r="AN204"/>
      <x:c t="inlineStr" r="AO204"/>
      <x:c t="inlineStr" r="AP204"/>
      <x:c t="inlineStr" r="AQ204"/>
      <x:c t="inlineStr" r="AR204"/>
      <x:c t="inlineStr" r="AS204"/>
      <x:c t="inlineStr" r="AT204"/>
      <x:c t="n" r="AU204">
        <x:v>1375</x:v>
      </x:c>
      <x:c t="inlineStr" r="AV204"/>
      <x:c t="inlineStr" r="AW204">
        <x:is>
          <x:t>iFood</x:t>
        </x:is>
      </x:c>
      <x:c t="inlineStr" r="AX204">
        <x:is>
          <x:t>sky</x:t>
        </x:is>
      </x:c>
      <x:c t="inlineStr" r="AY204">
        <x:is>
          <x:t>outdoor</x:t>
        </x:is>
      </x:c>
      <x:c t="inlineStr" r="AZ204">
        <x:is>
          <x:t>man,woman</x:t>
        </x:is>
      </x:c>
      <x:c t="inlineStr" r="BA204">
        <x:is>
          <x:t/>
        </x:is>
      </x:c>
      <x:c t="inlineStr" r="BB204">
        <x:is>
          <x:t>PHOTO</x:t>
        </x:is>
      </x:c>
      <x:c t="inlineStr" r="BC204"/>
      <x:c r="BD204">
        <x:f>HYPERLINK("https://cdn.bsky.app/img/feed_thumbnail/plain/did:plc:ppgqbc24yvwdifkpo6kvvrlu/bafkreifjel7idewehzs3tjdlqf62eq5d5xu7dbqt2qzsqwiwpeybzsh2r4")</x:f>
      </x:c>
      <x:c t="inlineStr" r="BE204">
        <x:is>
          <x:t/>
        </x:is>
      </x:c>
      <x:c t="inlineStr" r="BF204">
        <x:is>
          <x:t>Não</x:t>
        </x:is>
      </x:c>
      <x:c t="inlineStr" r="BG204"/>
      <x:c t="inlineStr" r="BH204">
        <x:is>
          <x:t>Beleza</x:t>
        </x:is>
      </x:c>
      <x:c t="inlineStr" r="BI204">
        <x:is>
          <x:t>Giveaway</x:t>
        </x:is>
      </x:c>
      <x:c t="inlineStr" r="BJ204"/>
      <x:c t="inlineStr" r="BK204">
        <x:is>
          <x:t>Ipiranga,App KMV,Rock In Rio</x:t>
        </x:is>
      </x:c>
      <x:c t="inlineStr" r="BL204"/>
      <x:c t="inlineStr" r="BM204"/>
      <x:c t="inlineStr" r="BN204"/>
      <x:c t="inlineStr" r="BO204"/>
      <x:c t="inlineStr" r="BP204"/>
      <x:c t="inlineStr" r="BQ204"/>
      <x:c t="inlineStr" r="BR204"/>
      <x:c t="inlineStr" r="BS204"/>
      <x:c t="inlineStr" r="BT204"/>
      <x:c t="inlineStr" r="BU204"/>
      <x:c t="inlineStr" r="BV204"/>
      <x:c t="inlineStr" r="BW204"/>
      <x:c t="inlineStr" r="BX204"/>
      <x:c t="inlineStr" r="BY204"/>
      <x:c t="inlineStr" r="BZ204">
        <x:is>
          <x:t>Ipiranga</x:t>
        </x:is>
      </x:c>
      <x:c t="inlineStr" r="CA204"/>
      <x:c t="inlineStr" r="CB204"/>
      <x:c t="inlineStr" r="CC204"/>
      <x:c t="inlineStr" r="CD204">
        <x:is>
          <x:t>App KMV</x:t>
        </x:is>
      </x:c>
      <x:c t="inlineStr" r="CE204">
        <x:is>
          <x:t>Rock In Rio</x:t>
        </x:is>
      </x:c>
      <x:c t="inlineStr" r="CF204"/>
    </x:row>
    <x:row r="205">
      <x:c t="n" r="A205">
        <x:v>2990634681</x:v>
      </x:c>
      <x:c t="inlineStr" r="B205">
        <x:is>
          <x:t>03.08.2026</x:t>
        </x:is>
      </x:c>
      <x:c t="inlineStr" r="C205">
        <x:is>
          <x:t>19:47</x:t>
        </x:is>
      </x:c>
      <x:c t="inlineStr" r="D205">
        <x:is>
          <x:t>04.08.2026 02:27</x:t>
        </x:is>
      </x:c>
      <x:c t="inlineStr" r="E205">
        <x:is>
          <x:t/>
        </x:is>
      </x:c>
      <x:c t="str" r="F205">
        <x:v>Rock in Rio: empresas sorteiam ingressos para o festival de música; veja como concorrer   .
Rock in Rio: empresas sorteiam ingressos para o festival de música; veja como concorrer
A pouco mais de um mês do Rock in Rio 2026 — que acontece em setembro, na Cidade do Rock, em Jacarepaguá —, empresas patrocinadoras do festival abriram promoções que sorteiam ingressos para o evento. Ao todo, pelo menos 88 ingressos — 44 pares — serão sorteados em ações com inscrição ainda aberta. Há também caminhos para pagar menos usando cartão ou pontos de fidelidade. Veja abaixo o que cada empresa está oferecendo e como participar.
Novo modelo de farmácia: Raia e Drogasil apostam em lojas focadas em perfumes e produtos de beleza
Dia dos Pais: veja cuidados para não cair em golpes ao comprar presentes
Patrocinador oficial do festival, o iFood tem a promoção com o maior número de entradas em jogo. A campanha "iFood é Tudo Pra Mim no Rock in Rio" sorteia 40 pares de ingressos, divididos em três tipos:
Pares para a área VIP com passagens aéreas e hospedagem;
Pares só para a área VIP sem hospedagem;
Pares para a pista (gramado).
Para participar, é preciso se cadastrar na aba da promoção dentro do aplicativo e fazer pedidos em qualquer categoria — restaurante, mercado, farmácia, pet ou shopping. Veja abaixo o passo a passo:
Abra o app do iFood;
Clique no ícone “Ver Mais” no alto da tela
Em “Destaques do iFood”, selecione “Rock In Rio”
Na tela seguinte, clique no botão “Cadastrar e Concorrer”
Preencha seus dados e comece a concorrer.
Cada compra gera um número da sorte. Assinantes do Clube iFood recebem o dobro de chances. É possível se cadastrar até 18 de agosto. Já os sorteios acontecem nos dias 5, 12 e 19 deste mês.
Natura: experiência VIP com tudo pago
Campanha da Natura para o Rock in Rio 2026 sorteia quatro pacotes VIP com tudo pago
Divulgação/Natura
Pela primeira vez, a Natura fará uma promoção nacional ligada ao festival. Serão contemplados quatro pessoas, cada um com direito a acompanhante e pacote completo, com passagens aéreas, hospedagem, traslado e kit de produtos da marca.
As inscrições vão até terça-feira (dia 4) por meio do site naturanorockinrio.com.br. Os participantes, apenas maiores de 18 anos, precisam cumprir três missões criativas. Cada uma vale um número da sorte. 
Dá para somar números extras cadastrando compras de produtos Natura, compartilhando o site da marca nas redes sociais ou incluindo o código de uma Consultora de Beleza. O sorteio vai acontecer no dia 8 de agosto.
Sorteio e resgate de ingressos na Tim
A TIM oferece duas formas de ir ao festival, ambas pelo programa de relacionamento TIM Mais, dentro do app Meu TIM. A primeira é um sorteio aberto a clientes de todas as categorias. A cada dia, o cliente resgata um número da sorte e concorre a ingressos e, em alguns casos, a pacotes com passagem e hospedagem. Quem participou das ativações presenciais "Dado da Sorte" em lojas selecionadas ganha números extras.
A segunda forma é resgate direto, disponível apenas para clientes dos níveis 4 e 5 do TIM Mais, os mais altos do programa. Esses clientes podem retirar pares de ingressos e convites para o espaço da TIM no festival diretamente na plataforma, enquanto houver disponibilidade. A empresa não divulgou quantos ingressos serão distribuídos.
Como pagar mais barato
Para quem vai comprar o ingresso, ainda há como reduzir o valor. Clientes que pagam com cartão de crédito do Itaú têm 15% de desconto na compra, benefício não cumulativo com a meia-entrada e parcelável em até 8 vezes sem juros.
Já a Ipiranga permite abater parte do preço com pontos. Pelo aplicativo do KMV, o programa de fidelidade da rede, o cliente pode resgatar um ingresso de gramado combinando dinheiro e 400 pontos acumulados, enquanto houver estoque.
http://dlvr.it/TTrK7Q</x:v>
      </x:c>
      <x:c t="inlineStr" r="G205">
        <x:is>
          <x:t/>
        </x:is>
      </x:c>
      <x:c t="inlineStr" r="H205"/>
      <x:c t="inlineStr" r="I205">
        <x:is>
          <x:t>Postar</x:t>
        </x:is>
      </x:c>
      <x:c t="inlineStr" r="J205">
        <x:is>
          <x:t>Texto,Link</x:t>
        </x:is>
      </x:c>
      <x:c t="inlineStr" r="K205"/>
      <x:c r="L205">
        <x:f>HYPERLINK("https://bsky.app/profile/jornal-extra.bsky.social/post/3ms7lduzb242e")</x:f>
      </x:c>
      <x:c t="inlineStr" r="M205">
        <x:is>
          <x:t>Negativo</x:t>
        </x:is>
      </x:c>
      <x:c t="inlineStr" r="N205">
        <x:is>
          <x:t>Jornal Extra</x:t>
        </x:is>
      </x:c>
      <x:c t="inlineStr" r="O205">
        <x:is>
          <x:t>jornal-extra.bsky.social</x:t>
        </x:is>
      </x:c>
      <x:c r="P205">
        <x:f>HYPERLINK("https://bsky.app/profile/jornal-extra.bsky.social")</x:f>
      </x:c>
      <x:c t="n" r="Q205">
        <x:v>7775</x:v>
      </x:c>
      <x:c t="inlineStr" r="R205"/>
      <x:c t="inlineStr" r="S205"/>
      <x:c t="inlineStr" r="T205">
        <x:is>
          <x:t>bsky.app</x:t>
        </x:is>
      </x:c>
      <x:c t="inlineStr" r="U205"/>
      <x:c t="inlineStr" r="V205"/>
      <x:c t="inlineStr" r="W205"/>
      <x:c t="inlineStr" r="X205"/>
      <x:c t="inlineStr" r="Y205">
        <x:is>
          <x:t>Rede social</x:t>
        </x:is>
      </x:c>
      <x:c t="inlineStr" r="Z205">
        <x:is>
          <x:t>Português</x:t>
        </x:is>
      </x:c>
      <x:c t="inlineStr" r="AA205"/>
      <x:c t="inlineStr" r="AB205"/>
      <x:c t="inlineStr" r="AC205"/>
      <x:c t="inlineStr" r="AD205"/>
      <x:c t="n" r="AE205">
        <x:v>0</x:v>
      </x:c>
      <x:c t="n" r="AF205">
        <x:v>1</x:v>
      </x:c>
      <x:c t="n" r="AG205">
        <x:v>0</x:v>
      </x:c>
      <x:c t="inlineStr" r="AH205"/>
      <x:c t="inlineStr" r="AI205"/>
      <x:c t="inlineStr" r="AJ205"/>
      <x:c t="inlineStr" r="AK205"/>
      <x:c t="inlineStr" r="AL205"/>
      <x:c t="inlineStr" r="AM205"/>
      <x:c t="inlineStr" r="AN205"/>
      <x:c t="n" r="AO205">
        <x:v>0</x:v>
      </x:c>
      <x:c t="n" r="AP205">
        <x:v>1</x:v>
      </x:c>
      <x:c t="inlineStr" r="AQ205"/>
      <x:c t="inlineStr" r="AR205"/>
      <x:c t="inlineStr" r="AS205"/>
      <x:c t="n" r="AT205">
        <x:v>0</x:v>
      </x:c>
      <x:c t="n" r="AU205">
        <x:v>7775</x:v>
      </x:c>
      <x:c t="inlineStr" r="AV205"/>
      <x:c t="inlineStr" r="AW205">
        <x:is>
          <x:t>iFood</x:t>
        </x:is>
      </x:c>
      <x:c t="inlineStr" r="AX205">
        <x:is>
          <x:t>sky</x:t>
        </x:is>
      </x:c>
      <x:c t="inlineStr" r="AY205">
        <x:is>
          <x:t>outdoor</x:t>
        </x:is>
      </x:c>
      <x:c t="inlineStr" r="AZ205">
        <x:is>
          <x:t>man,woman</x:t>
        </x:is>
      </x:c>
      <x:c t="inlineStr" r="BA205">
        <x:is>
          <x:t/>
        </x:is>
      </x:c>
      <x:c t="inlineStr" r="BB205">
        <x:is>
          <x:t>PHOTO</x:t>
        </x:is>
      </x:c>
      <x:c t="inlineStr" r="BC205"/>
      <x:c r="BD205">
        <x:f>HYPERLINK("https://cdn.bsky.app/img/feed_thumbnail/plain/did:plc:ppgqbc24yvwdifkpo6kvvrlu/bafkreifjel7idewehzs3tjdlqf62eq5d5xu7dbqt2qzsqwiwpeybzsh2r4")</x:f>
      </x:c>
      <x:c t="inlineStr" r="BE205">
        <x:is>
          <x:t/>
        </x:is>
      </x:c>
      <x:c t="inlineStr" r="BF205">
        <x:is>
          <x:t>Não</x:t>
        </x:is>
      </x:c>
      <x:c t="inlineStr" r="BG205"/>
      <x:c t="inlineStr" r="BH205">
        <x:is>
          <x:t>Beleza</x:t>
        </x:is>
      </x:c>
      <x:c t="inlineStr" r="BI205">
        <x:is>
          <x:t>Giveaway</x:t>
        </x:is>
      </x:c>
      <x:c t="inlineStr" r="BJ205"/>
      <x:c t="inlineStr" r="BK205">
        <x:is>
          <x:t>Ipiranga,App KMV,Rock In Rio</x:t>
        </x:is>
      </x:c>
      <x:c t="inlineStr" r="BL205"/>
      <x:c t="inlineStr" r="BM205"/>
      <x:c t="inlineStr" r="BN205"/>
      <x:c t="inlineStr" r="BO205"/>
      <x:c t="inlineStr" r="BP205"/>
      <x:c t="inlineStr" r="BQ205"/>
      <x:c t="inlineStr" r="BR205"/>
      <x:c t="inlineStr" r="BS205"/>
      <x:c t="inlineStr" r="BT205"/>
      <x:c t="inlineStr" r="BU205"/>
      <x:c t="inlineStr" r="BV205"/>
      <x:c t="inlineStr" r="BW205"/>
      <x:c t="inlineStr" r="BX205"/>
      <x:c t="inlineStr" r="BY205"/>
      <x:c t="inlineStr" r="BZ205">
        <x:is>
          <x:t>Ipiranga</x:t>
        </x:is>
      </x:c>
      <x:c t="inlineStr" r="CA205"/>
      <x:c t="inlineStr" r="CB205"/>
      <x:c t="inlineStr" r="CC205"/>
      <x:c t="inlineStr" r="CD205">
        <x:is>
          <x:t>App KMV</x:t>
        </x:is>
      </x:c>
      <x:c t="inlineStr" r="CE205">
        <x:is>
          <x:t>Rock In Rio</x:t>
        </x:is>
      </x:c>
      <x:c t="inlineStr" r="CF205"/>
    </x:row>
  </x:sheetData>
</x:worksheet>
</file>